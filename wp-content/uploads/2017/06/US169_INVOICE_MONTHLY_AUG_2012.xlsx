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05" yWindow="1635" windowWidth="12990" windowHeight="6210" tabRatio="687"/>
  </bookViews>
  <sheets>
    <sheet name="Balance" sheetId="1" r:id="rId1"/>
    <sheet name="Facilitator" sheetId="3" r:id="rId2"/>
    <sheet name="Budget" sheetId="5" r:id="rId3"/>
    <sheet name="Webb Site Development &amp; Maint." sheetId="6" r:id="rId4"/>
    <sheet name="DUES 2012" sheetId="8" r:id="rId5"/>
  </sheets>
  <calcPr calcId="145621"/>
</workbook>
</file>

<file path=xl/calcChain.xml><?xml version="1.0" encoding="utf-8"?>
<calcChain xmlns="http://schemas.openxmlformats.org/spreadsheetml/2006/main">
  <c r="C36" i="5" l="1"/>
  <c r="E49" i="1" l="1"/>
  <c r="E50" i="1" s="1"/>
  <c r="E51" i="1" s="1"/>
  <c r="E52" i="1" s="1"/>
  <c r="E53" i="1" s="1"/>
  <c r="C47" i="5" s="1"/>
  <c r="E47" i="1" l="1"/>
  <c r="E48" i="1" l="1"/>
  <c r="E45" i="1"/>
  <c r="E46" i="1" s="1"/>
  <c r="C42" i="5" l="1"/>
  <c r="E33" i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Q45" i="8"/>
  <c r="L19" i="3" l="1"/>
  <c r="C39" i="5" l="1"/>
  <c r="E4" i="1" l="1"/>
  <c r="C3" i="5" s="1"/>
  <c r="C30" i="5" s="1"/>
  <c r="E5" i="1" l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K45" i="8" l="1"/>
  <c r="N45" i="8"/>
  <c r="B45" i="5" l="1"/>
  <c r="B30" i="5"/>
  <c r="I45" i="8" l="1"/>
  <c r="E45" i="8"/>
  <c r="D45" i="8"/>
  <c r="K4" i="3" l="1"/>
  <c r="D16" i="6"/>
  <c r="C35" i="5" s="1"/>
  <c r="D18" i="6" l="1"/>
  <c r="D19" i="3" l="1"/>
  <c r="M4" i="3"/>
  <c r="E19" i="3"/>
  <c r="F19" i="3"/>
  <c r="G19" i="3"/>
  <c r="H19" i="3"/>
  <c r="I19" i="3"/>
  <c r="J19" i="3"/>
  <c r="K19" i="3" l="1"/>
  <c r="M19" i="3" l="1"/>
  <c r="C34" i="5"/>
  <c r="C45" i="5" s="1"/>
  <c r="C46" i="5" s="1"/>
</calcChain>
</file>

<file path=xl/comments1.xml><?xml version="1.0" encoding="utf-8"?>
<comments xmlns="http://schemas.openxmlformats.org/spreadsheetml/2006/main">
  <authors>
    <author>setup</author>
  </authors>
  <commentList>
    <comment ref="E4" authorId="0">
      <text>
        <r>
          <rPr>
            <b/>
            <sz val="8"/>
            <color indexed="81"/>
            <rFont val="Tahoma"/>
            <family val="2"/>
          </rPr>
          <t xml:space="preserve">eq-ending balance Lawson: $47,276.67 less 2012 dues of 6,250..  Total 33,861.59
.  
</t>
        </r>
      </text>
    </comment>
  </commentList>
</comments>
</file>

<file path=xl/comments2.xml><?xml version="1.0" encoding="utf-8"?>
<comments xmlns="http://schemas.openxmlformats.org/spreadsheetml/2006/main">
  <authors>
    <author>setup</author>
  </authors>
  <commentList>
    <comment ref="A3" authorId="0">
      <text>
        <r>
          <rPr>
            <b/>
            <sz val="8"/>
            <color indexed="81"/>
            <rFont val="Tahoma"/>
            <family val="2"/>
          </rPr>
          <t>Bufflehead Web Design</t>
        </r>
      </text>
    </comment>
  </commentList>
</comments>
</file>

<file path=xl/comments3.xml><?xml version="1.0" encoding="utf-8"?>
<comments xmlns="http://schemas.openxmlformats.org/spreadsheetml/2006/main">
  <authors>
    <author>setup</author>
  </authors>
  <commentList>
    <comment ref="I5" authorId="0">
      <text>
        <r>
          <rPr>
            <sz val="8"/>
            <color indexed="81"/>
            <rFont val="Tahoma"/>
            <family val="2"/>
          </rPr>
          <t xml:space="preserve">Eunie Quade:
City of Bloomington billed US Hwy 169 inv # 45317 4,550.00 they deducted 3,000. for their 2009 dues.   Net left 1,550.00  
</t>
        </r>
      </text>
    </comment>
  </commentList>
</comments>
</file>

<file path=xl/sharedStrings.xml><?xml version="1.0" encoding="utf-8"?>
<sst xmlns="http://schemas.openxmlformats.org/spreadsheetml/2006/main" count="267" uniqueCount="192">
  <si>
    <t>Date</t>
  </si>
  <si>
    <t>Transaction</t>
  </si>
  <si>
    <t>Deposits</t>
  </si>
  <si>
    <t>Checks</t>
  </si>
  <si>
    <t>Balance</t>
  </si>
  <si>
    <t>Details</t>
  </si>
  <si>
    <t xml:space="preserve"> </t>
  </si>
  <si>
    <t>Savage</t>
  </si>
  <si>
    <t>Scott County</t>
  </si>
  <si>
    <t>Service</t>
  </si>
  <si>
    <t>Copies</t>
  </si>
  <si>
    <t>Telecopier</t>
  </si>
  <si>
    <t>Postage</t>
  </si>
  <si>
    <t>Telephone</t>
  </si>
  <si>
    <t>Other</t>
  </si>
  <si>
    <t>Expenses</t>
  </si>
  <si>
    <t>Budget</t>
  </si>
  <si>
    <t>Yearly total</t>
  </si>
  <si>
    <t>Month</t>
  </si>
  <si>
    <t>REVENUE</t>
  </si>
  <si>
    <t>EXPENDITURES</t>
  </si>
  <si>
    <t>Contingency</t>
  </si>
  <si>
    <t>Total</t>
  </si>
  <si>
    <t>Monthly</t>
  </si>
  <si>
    <t>Travel</t>
  </si>
  <si>
    <t>Information &amp; Website</t>
  </si>
  <si>
    <t>Printing &amp; Mailing</t>
  </si>
  <si>
    <t xml:space="preserve">Bloomington </t>
  </si>
  <si>
    <t>Over (-) or</t>
  </si>
  <si>
    <t>under (+) budget</t>
  </si>
  <si>
    <t>TOTAL REVENUE</t>
  </si>
  <si>
    <t>Edina</t>
  </si>
  <si>
    <t>Jordan</t>
  </si>
  <si>
    <t xml:space="preserve">LeSueur </t>
  </si>
  <si>
    <t>Prior Lake</t>
  </si>
  <si>
    <t>Shakopee</t>
  </si>
  <si>
    <t>LeSueur County</t>
  </si>
  <si>
    <t>Blue Earth County</t>
  </si>
  <si>
    <t>Mankato</t>
  </si>
  <si>
    <t>North Mankato</t>
  </si>
  <si>
    <t>Belle Plaine</t>
  </si>
  <si>
    <t>Deposit</t>
  </si>
  <si>
    <t>Facilitator/consultant</t>
  </si>
  <si>
    <t>Checking account balance</t>
  </si>
  <si>
    <t>Budgeted</t>
  </si>
  <si>
    <t>Collected</t>
  </si>
  <si>
    <r>
      <rPr>
        <b/>
        <sz val="10"/>
        <rFont val="Arial"/>
        <family val="2"/>
      </rPr>
      <t>REVENUE</t>
    </r>
    <r>
      <rPr>
        <sz val="10"/>
        <rFont val="Arial"/>
        <family val="2"/>
      </rPr>
      <t xml:space="preserve"> in excess of </t>
    </r>
    <r>
      <rPr>
        <b/>
        <sz val="10"/>
        <rFont val="Arial"/>
        <family val="2"/>
      </rPr>
      <t>EXPENDITURES</t>
    </r>
  </si>
  <si>
    <t>TOTAL EXPENDITURES</t>
  </si>
  <si>
    <t>Annual dues</t>
  </si>
  <si>
    <t>St. Peter</t>
  </si>
  <si>
    <t>Graphics development</t>
  </si>
  <si>
    <t>Consultant</t>
  </si>
  <si>
    <t xml:space="preserve">Region 9 </t>
  </si>
  <si>
    <t>Nicollet County</t>
  </si>
  <si>
    <t>DATE</t>
  </si>
  <si>
    <t>Total to date</t>
  </si>
  <si>
    <t>US HWY 169 CORRIDOR COALITION INVOICE TRACKING</t>
  </si>
  <si>
    <t>Invoice Sent to:</t>
  </si>
  <si>
    <t>City</t>
  </si>
  <si>
    <t>Set amount</t>
  </si>
  <si>
    <t>Amount   Billed</t>
  </si>
  <si>
    <t>Received JPA</t>
  </si>
  <si>
    <t>Date Mailed</t>
  </si>
  <si>
    <t>Date Paid</t>
  </si>
  <si>
    <t>Amount Paid</t>
  </si>
  <si>
    <t>Mr. David Murphy</t>
  </si>
  <si>
    <t>Jim Gates</t>
  </si>
  <si>
    <t>Bloomington</t>
  </si>
  <si>
    <t>X</t>
  </si>
  <si>
    <t>Eden Prairie</t>
  </si>
  <si>
    <t>Golden Valley</t>
  </si>
  <si>
    <t>Hopkins</t>
  </si>
  <si>
    <t>Mr. Ed Shukle</t>
  </si>
  <si>
    <t>Mr. Richard Almich</t>
  </si>
  <si>
    <t>Le Sueur</t>
  </si>
  <si>
    <t>Pat Hentges</t>
  </si>
  <si>
    <t>Steve Mork</t>
  </si>
  <si>
    <t>Jane Kansier</t>
  </si>
  <si>
    <t>John Powell</t>
  </si>
  <si>
    <t>Mr. Mark McNeill</t>
  </si>
  <si>
    <t>Lewis Giesking</t>
  </si>
  <si>
    <t>St Peter</t>
  </si>
  <si>
    <t>County</t>
  </si>
  <si>
    <t>Mr. Al Forsberg</t>
  </si>
  <si>
    <t>Blue Earth</t>
  </si>
  <si>
    <t>Mr. Darrell Pettis</t>
  </si>
  <si>
    <t>Seth Greenwood</t>
  </si>
  <si>
    <t>Nicollet</t>
  </si>
  <si>
    <t>Ms. Lisa Freese</t>
  </si>
  <si>
    <t>Scott</t>
  </si>
  <si>
    <t>Region 9</t>
  </si>
  <si>
    <t xml:space="preserve"> Lu Vanderwerf</t>
  </si>
  <si>
    <t>Insurance</t>
  </si>
  <si>
    <t>D. Joseph Dunean</t>
  </si>
  <si>
    <t>Bolton &amp; Menk, Inc</t>
  </si>
  <si>
    <t>Transfer</t>
  </si>
  <si>
    <t>Mr. Hughes</t>
  </si>
  <si>
    <t>Township</t>
  </si>
  <si>
    <t>LuAnne Lemke</t>
  </si>
  <si>
    <t>Louisville Township</t>
  </si>
  <si>
    <t>Kathy Nielsen</t>
  </si>
  <si>
    <t>Spring Lake Township</t>
  </si>
  <si>
    <t>Affilate Members         Gold Level</t>
  </si>
  <si>
    <t>IRC Study Data Update for Project Prioritization</t>
  </si>
  <si>
    <t>Bolton &amp; Menk, Inc. (Gold Level)</t>
  </si>
  <si>
    <t>Facilitator/consultant Expenses</t>
  </si>
  <si>
    <t>Administrative Services (Scott County)</t>
  </si>
  <si>
    <t>Federal HPP request prep/graphics</t>
  </si>
  <si>
    <t>Events</t>
  </si>
  <si>
    <t>Trip to DC/Meet w/Federal Delegation (3 members)</t>
  </si>
  <si>
    <t>Rita Tauer</t>
  </si>
  <si>
    <t>Sand Creek Township</t>
  </si>
  <si>
    <t>SMSC</t>
  </si>
  <si>
    <t>Bill Rudnicki</t>
  </si>
  <si>
    <t>Shakopee Mdewakauton Sioux Community</t>
  </si>
  <si>
    <t>City of Mankato (2012 Dues) pd in 2011</t>
  </si>
  <si>
    <t>Balance from 2011</t>
  </si>
  <si>
    <t>2011 Balance less 2012 Dues pd in 2011</t>
  </si>
  <si>
    <t>Region Nine Development (2012 Dues) pd in 2011</t>
  </si>
  <si>
    <t xml:space="preserve">City of North Mankato (2012 Dues) </t>
  </si>
  <si>
    <t>Blue Earth County (2012 Dues)</t>
  </si>
  <si>
    <t>City of Belle Plaine (2012 Dues)</t>
  </si>
  <si>
    <t>Scott County (2012 Dues)</t>
  </si>
  <si>
    <t>City of Edina (2012 Dues)</t>
  </si>
  <si>
    <t xml:space="preserve">Indivitual Members        </t>
  </si>
  <si>
    <t>Kathleen Sheran</t>
  </si>
  <si>
    <t>City of St Peter (2012 Dues)</t>
  </si>
  <si>
    <t>City of Le Sueur (2012 Dues)</t>
  </si>
  <si>
    <t>City of Prior Lake (2012 Dues)</t>
  </si>
  <si>
    <t>City of Shakopee (2012 Dues)</t>
  </si>
  <si>
    <t>City of Savage (2012 Dues)</t>
  </si>
  <si>
    <t>Township of Spring Lake (2012 Dues)</t>
  </si>
  <si>
    <t>Township of Sand Creek (2012 Dues)</t>
  </si>
  <si>
    <t>Township of Louisville (2012Dues)</t>
  </si>
  <si>
    <t>Nicollet County (2012 Dues)</t>
  </si>
  <si>
    <t>City of Jordan (2012 Dues)</t>
  </si>
  <si>
    <t>City of Bloomington (2012 Dues)</t>
  </si>
  <si>
    <t>Admin time</t>
  </si>
  <si>
    <t>Admin Support-Final January 2012</t>
  </si>
  <si>
    <t>Beginning balance  from 2011</t>
  </si>
  <si>
    <t>Balance brought forward from 2011</t>
  </si>
  <si>
    <t>Breakfast for event</t>
  </si>
  <si>
    <t>Dixie Blue BBQ LLC</t>
  </si>
  <si>
    <t>LeSueur County (2012 Dues)</t>
  </si>
  <si>
    <t>01557-020-20</t>
  </si>
  <si>
    <t>WSB</t>
  </si>
  <si>
    <t>Invoice 01557-020-20 Dec 1-Dec 31</t>
  </si>
  <si>
    <t>Beginning balance from 2011</t>
  </si>
  <si>
    <t>League of Mn Cities</t>
  </si>
  <si>
    <t>Invoice 39330 annual pay plan</t>
  </si>
  <si>
    <t>Invoice 01557-020-21 Jan. 01 to Jan. 31, 2012</t>
  </si>
  <si>
    <t>Invoice 01557-020-22 Feb. 1 to Feb. 29, 2012</t>
  </si>
  <si>
    <t>01557-020-21</t>
  </si>
  <si>
    <t>01557-020-22</t>
  </si>
  <si>
    <t>HDR Engineering, Inc</t>
  </si>
  <si>
    <t>Khani Sahebjam &amp; Kian Sabeti</t>
  </si>
  <si>
    <t>Bufflehead Web Design</t>
  </si>
  <si>
    <t>HDR Engineering, Inc.</t>
  </si>
  <si>
    <t>Web Design</t>
  </si>
  <si>
    <t>Bufflehead Web Design Invoice March 4, 2012</t>
  </si>
  <si>
    <t>Invoice 01557-020-23 March 01 to March 31 2012</t>
  </si>
  <si>
    <t>Jordan Dental Care, PA (June 2012 through May 2013 dues)</t>
  </si>
  <si>
    <t>HDR Engineering, Inc. (April 2012 through March 2013 dues)</t>
  </si>
  <si>
    <t>Greater Mankato Growth, Inc (June 2012 through May 2013 dues)</t>
  </si>
  <si>
    <t>01557-020-23</t>
  </si>
  <si>
    <t>Affilate Members         Silver Level</t>
  </si>
  <si>
    <t>Jonathan Zierdt</t>
  </si>
  <si>
    <t>Greater Mankato Growth, Inc</t>
  </si>
  <si>
    <t>Affilate Members         Special Level</t>
  </si>
  <si>
    <t>Dr. Elizabeth Thelemann</t>
  </si>
  <si>
    <t>Jordan Dental Care, P.A.</t>
  </si>
  <si>
    <t>Greater Mankato Growth, Inc (Silver Level) June 2012</t>
  </si>
  <si>
    <t>Jordan Dental Care, PA (Special Level) June 2012</t>
  </si>
  <si>
    <t>Land to Air Express (Blue Earth / Blue Sky LLC June 2012 through May 2013-Silver Level</t>
  </si>
  <si>
    <t>Region Nine Development Comm</t>
  </si>
  <si>
    <t>Bonnie Buckanan</t>
  </si>
  <si>
    <t>Land To Air Express</t>
  </si>
  <si>
    <t>Invoice 01557-020-24</t>
  </si>
  <si>
    <t>01557-020-24</t>
  </si>
  <si>
    <t>Feb-May Copies</t>
  </si>
  <si>
    <t>City of Jordan</t>
  </si>
  <si>
    <t>City of Jordan bars, Soda, Coffee 61412</t>
  </si>
  <si>
    <t>Karen Kreuser-CC</t>
  </si>
  <si>
    <t>Cookies for May 10th meeting</t>
  </si>
  <si>
    <t>Land To Air Express  (Silver Level) June 2012</t>
  </si>
  <si>
    <t>Invoice 01557-020-25 May 1-May 31</t>
  </si>
  <si>
    <t>Bolton &amp; Menk Dues</t>
  </si>
  <si>
    <t>Bolton &amp; Menk, Inc (June 2012 thru May 2013 dues)</t>
  </si>
  <si>
    <t>01557-020-25</t>
  </si>
  <si>
    <t>Invoice 01557-020-26</t>
  </si>
  <si>
    <t>01557-020-26</t>
  </si>
  <si>
    <t>Region Nine Dev Comm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</si>
</sst>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164" formatCode="m/d/yy;@"/>
    <numFmt numFmtId="165" formatCode="[$-409]mmmm\-yy;@"/>
    <numFmt numFmtId="166" formatCode="_(&quot;$&quot;* #,##0_);_(&quot;$&quot;* \(#,##0\);_(&quot;$&quot;* &quot;-&quot;??_);_(@_)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8"/>
      <color indexed="81"/>
      <name val="Tahoma"/>
      <family val="2"/>
    </font>
    <font>
      <b/>
      <sz val="11"/>
      <color theme="1"/>
      <name val="Californian FB"/>
      <family val="1"/>
    </font>
    <font>
      <sz val="11"/>
      <color theme="1"/>
      <name val="Californian FB"/>
      <family val="1"/>
    </font>
    <font>
      <sz val="11"/>
      <color theme="1"/>
      <name val="Times New Roman"/>
      <family val="1"/>
    </font>
    <font>
      <sz val="8"/>
      <color indexed="81"/>
      <name val="Tahoma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</borders>
  <cellStyleXfs count="15">
    <xf numFmtId="0" fontId="0" fillId="0" borderId="0"/>
    <xf numFmtId="0" fontId="5" fillId="0" borderId="0"/>
    <xf numFmtId="44" fontId="5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180">
    <xf numFmtId="0" fontId="0" fillId="0" borderId="0" xfId="0"/>
    <xf numFmtId="0" fontId="0" fillId="0" borderId="0" xfId="0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164" fontId="0" fillId="0" borderId="0" xfId="0" applyNumberFormat="1" applyAlignment="1">
      <alignment horizontal="center"/>
    </xf>
    <xf numFmtId="4" fontId="0" fillId="0" borderId="0" xfId="0" applyNumberFormat="1"/>
    <xf numFmtId="0" fontId="0" fillId="0" borderId="0" xfId="0" quotePrefix="1" applyAlignment="1">
      <alignment horizontal="center"/>
    </xf>
    <xf numFmtId="0" fontId="0" fillId="0" borderId="1" xfId="0" applyBorder="1"/>
    <xf numFmtId="0" fontId="0" fillId="0" borderId="0" xfId="0" applyAlignment="1">
      <alignment horizontal="right"/>
    </xf>
    <xf numFmtId="4" fontId="9" fillId="0" borderId="0" xfId="0" applyNumberFormat="1" applyFont="1"/>
    <xf numFmtId="14" fontId="0" fillId="0" borderId="0" xfId="0" applyNumberFormat="1" applyAlignment="1">
      <alignment horizontal="center"/>
    </xf>
    <xf numFmtId="4" fontId="0" fillId="0" borderId="0" xfId="0" quotePrefix="1" applyNumberFormat="1" applyAlignment="1">
      <alignment horizontal="center"/>
    </xf>
    <xf numFmtId="4" fontId="7" fillId="0" borderId="3" xfId="0" applyNumberFormat="1" applyFont="1" applyBorder="1"/>
    <xf numFmtId="3" fontId="0" fillId="0" borderId="0" xfId="0" applyNumberFormat="1" applyAlignment="1">
      <alignment horizontal="center"/>
    </xf>
    <xf numFmtId="0" fontId="0" fillId="0" borderId="2" xfId="0" applyBorder="1" applyAlignment="1">
      <alignment horizontal="right"/>
    </xf>
    <xf numFmtId="4" fontId="0" fillId="0" borderId="0" xfId="0" applyNumberFormat="1" applyAlignment="1">
      <alignment horizontal="right"/>
    </xf>
    <xf numFmtId="4" fontId="9" fillId="0" borderId="0" xfId="0" applyNumberFormat="1" applyFont="1" applyAlignment="1">
      <alignment horizontal="right"/>
    </xf>
    <xf numFmtId="0" fontId="7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0" fillId="0" borderId="0" xfId="0" applyBorder="1"/>
    <xf numFmtId="0" fontId="9" fillId="0" borderId="0" xfId="0" applyFont="1"/>
    <xf numFmtId="0" fontId="9" fillId="0" borderId="0" xfId="0" applyFont="1" applyAlignment="1">
      <alignment horizontal="right"/>
    </xf>
    <xf numFmtId="0" fontId="9" fillId="0" borderId="0" xfId="0" quotePrefix="1" applyFont="1" applyAlignment="1">
      <alignment horizontal="left"/>
    </xf>
    <xf numFmtId="4" fontId="9" fillId="0" borderId="4" xfId="0" applyNumberFormat="1" applyFont="1" applyBorder="1"/>
    <xf numFmtId="4" fontId="9" fillId="0" borderId="0" xfId="0" applyNumberFormat="1" applyFont="1" applyBorder="1"/>
    <xf numFmtId="4" fontId="9" fillId="0" borderId="0" xfId="0" applyNumberFormat="1" applyFont="1" applyFill="1"/>
    <xf numFmtId="4" fontId="0" fillId="0" borderId="0" xfId="0" applyNumberFormat="1" applyFill="1"/>
    <xf numFmtId="0" fontId="0" fillId="0" borderId="0" xfId="0" applyFill="1"/>
    <xf numFmtId="4" fontId="7" fillId="0" borderId="3" xfId="0" applyNumberFormat="1" applyFont="1" applyFill="1" applyBorder="1"/>
    <xf numFmtId="4" fontId="0" fillId="0" borderId="0" xfId="0" applyNumberFormat="1" applyBorder="1"/>
    <xf numFmtId="0" fontId="0" fillId="0" borderId="0" xfId="0" applyBorder="1" applyAlignment="1">
      <alignment horizontal="center"/>
    </xf>
    <xf numFmtId="1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left"/>
    </xf>
    <xf numFmtId="0" fontId="9" fillId="0" borderId="0" xfId="0" quotePrefix="1" applyFont="1"/>
    <xf numFmtId="0" fontId="9" fillId="0" borderId="0" xfId="0" applyFont="1" applyAlignment="1">
      <alignment horizontal="right"/>
    </xf>
    <xf numFmtId="0" fontId="9" fillId="0" borderId="0" xfId="0" applyFont="1" applyAlignment="1">
      <alignment horizontal="center" wrapText="1"/>
    </xf>
    <xf numFmtId="4" fontId="9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4" fontId="7" fillId="0" borderId="4" xfId="0" applyNumberFormat="1" applyFont="1" applyFill="1" applyBorder="1"/>
    <xf numFmtId="4" fontId="7" fillId="0" borderId="4" xfId="0" applyNumberFormat="1" applyFont="1" applyBorder="1"/>
    <xf numFmtId="4" fontId="7" fillId="0" borderId="5" xfId="0" applyNumberFormat="1" applyFont="1" applyFill="1" applyBorder="1"/>
    <xf numFmtId="165" fontId="7" fillId="0" borderId="1" xfId="0" applyNumberFormat="1" applyFont="1" applyBorder="1" applyAlignment="1">
      <alignment horizontal="center"/>
    </xf>
    <xf numFmtId="165" fontId="0" fillId="0" borderId="0" xfId="0" quotePrefix="1" applyNumberFormat="1" applyAlignment="1">
      <alignment horizontal="left"/>
    </xf>
    <xf numFmtId="165" fontId="7" fillId="0" borderId="0" xfId="0" applyNumberFormat="1" applyFont="1" applyBorder="1" applyAlignment="1">
      <alignment horizontal="left"/>
    </xf>
    <xf numFmtId="165" fontId="7" fillId="0" borderId="1" xfId="0" applyNumberFormat="1" applyFont="1" applyBorder="1" applyAlignment="1">
      <alignment horizontal="left"/>
    </xf>
    <xf numFmtId="165" fontId="0" fillId="0" borderId="0" xfId="0" applyNumberFormat="1" applyAlignment="1">
      <alignment horizontal="left"/>
    </xf>
    <xf numFmtId="165" fontId="9" fillId="0" borderId="0" xfId="0" quotePrefix="1" applyNumberFormat="1" applyFont="1" applyAlignment="1">
      <alignment horizontal="left"/>
    </xf>
    <xf numFmtId="14" fontId="0" fillId="0" borderId="0" xfId="0" applyNumberFormat="1"/>
    <xf numFmtId="14" fontId="0" fillId="0" borderId="0" xfId="0" applyNumberFormat="1" applyBorder="1"/>
    <xf numFmtId="14" fontId="9" fillId="0" borderId="6" xfId="0" applyNumberFormat="1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4" fontId="0" fillId="0" borderId="6" xfId="0" applyNumberFormat="1" applyBorder="1"/>
    <xf numFmtId="0" fontId="9" fillId="0" borderId="8" xfId="0" applyFont="1" applyBorder="1"/>
    <xf numFmtId="0" fontId="9" fillId="0" borderId="9" xfId="0" applyFont="1" applyBorder="1"/>
    <xf numFmtId="0" fontId="9" fillId="0" borderId="10" xfId="0" applyFont="1" applyBorder="1"/>
    <xf numFmtId="0" fontId="9" fillId="0" borderId="11" xfId="0" applyFont="1" applyBorder="1"/>
    <xf numFmtId="0" fontId="0" fillId="0" borderId="6" xfId="0" applyBorder="1"/>
    <xf numFmtId="4" fontId="0" fillId="0" borderId="7" xfId="0" applyNumberFormat="1" applyBorder="1"/>
    <xf numFmtId="0" fontId="7" fillId="0" borderId="0" xfId="0" applyFont="1" applyBorder="1" applyAlignment="1">
      <alignment horizontal="center"/>
    </xf>
    <xf numFmtId="4" fontId="7" fillId="0" borderId="4" xfId="0" applyNumberFormat="1" applyFont="1" applyBorder="1" applyAlignment="1">
      <alignment horizontal="right"/>
    </xf>
    <xf numFmtId="14" fontId="0" fillId="0" borderId="0" xfId="0" applyNumberFormat="1" applyBorder="1" applyAlignment="1">
      <alignment horizontal="center"/>
    </xf>
    <xf numFmtId="0" fontId="0" fillId="0" borderId="0" xfId="0" applyFont="1" applyAlignment="1">
      <alignment horizontal="center"/>
    </xf>
    <xf numFmtId="0" fontId="9" fillId="5" borderId="0" xfId="0" applyFont="1" applyFill="1" applyAlignment="1">
      <alignment horizontal="left"/>
    </xf>
    <xf numFmtId="4" fontId="9" fillId="5" borderId="0" xfId="0" applyNumberFormat="1" applyFont="1" applyFill="1"/>
    <xf numFmtId="14" fontId="9" fillId="5" borderId="0" xfId="0" applyNumberFormat="1" applyFont="1" applyFill="1" applyAlignment="1">
      <alignment horizontal="center"/>
    </xf>
    <xf numFmtId="0" fontId="9" fillId="5" borderId="0" xfId="0" applyFont="1" applyFill="1"/>
    <xf numFmtId="0" fontId="9" fillId="5" borderId="0" xfId="0" quotePrefix="1" applyFont="1" applyFill="1" applyAlignment="1">
      <alignment horizontal="left"/>
    </xf>
    <xf numFmtId="0" fontId="0" fillId="0" borderId="0" xfId="0" applyAlignment="1">
      <alignment horizontal="left"/>
    </xf>
    <xf numFmtId="165" fontId="9" fillId="0" borderId="0" xfId="0" applyNumberFormat="1" applyFont="1" applyAlignment="1">
      <alignment horizontal="left"/>
    </xf>
    <xf numFmtId="0" fontId="3" fillId="0" borderId="14" xfId="5" applyBorder="1" applyAlignment="1">
      <alignment horizontal="center" vertical="center"/>
    </xf>
    <xf numFmtId="0" fontId="3" fillId="0" borderId="15" xfId="5" applyBorder="1" applyAlignment="1">
      <alignment horizontal="center" vertical="center"/>
    </xf>
    <xf numFmtId="0" fontId="3" fillId="2" borderId="7" xfId="5" applyFill="1" applyBorder="1" applyAlignment="1">
      <alignment horizontal="center" vertical="center"/>
    </xf>
    <xf numFmtId="0" fontId="3" fillId="2" borderId="12" xfId="5" applyFill="1" applyBorder="1" applyAlignment="1">
      <alignment horizontal="center" vertical="center"/>
    </xf>
    <xf numFmtId="0" fontId="3" fillId="2" borderId="14" xfId="5" applyFill="1" applyBorder="1" applyAlignment="1">
      <alignment horizontal="center" vertical="center"/>
    </xf>
    <xf numFmtId="0" fontId="3" fillId="0" borderId="0" xfId="5"/>
    <xf numFmtId="166" fontId="12" fillId="0" borderId="8" xfId="6" applyNumberFormat="1" applyFont="1" applyBorder="1"/>
    <xf numFmtId="166" fontId="12" fillId="2" borderId="9" xfId="6" applyNumberFormat="1" applyFont="1" applyFill="1" applyBorder="1"/>
    <xf numFmtId="166" fontId="12" fillId="0" borderId="9" xfId="6" applyNumberFormat="1" applyFont="1" applyBorder="1" applyAlignment="1">
      <alignment horizontal="center" wrapText="1"/>
    </xf>
    <xf numFmtId="166" fontId="12" fillId="0" borderId="9" xfId="6" applyNumberFormat="1" applyFont="1" applyBorder="1"/>
    <xf numFmtId="166" fontId="12" fillId="0" borderId="9" xfId="6" applyNumberFormat="1" applyFont="1" applyBorder="1" applyAlignment="1">
      <alignment horizontal="center"/>
    </xf>
    <xf numFmtId="166" fontId="12" fillId="0" borderId="16" xfId="6" applyNumberFormat="1" applyFont="1" applyFill="1" applyBorder="1"/>
    <xf numFmtId="166" fontId="12" fillId="0" borderId="17" xfId="6" applyNumberFormat="1" applyFont="1" applyFill="1" applyBorder="1"/>
    <xf numFmtId="166" fontId="12" fillId="0" borderId="8" xfId="6" applyNumberFormat="1" applyFont="1" applyBorder="1" applyAlignment="1">
      <alignment horizontal="center"/>
    </xf>
    <xf numFmtId="4" fontId="12" fillId="0" borderId="16" xfId="6" applyNumberFormat="1" applyFont="1" applyFill="1" applyBorder="1" applyAlignment="1">
      <alignment horizontal="center"/>
    </xf>
    <xf numFmtId="166" fontId="12" fillId="0" borderId="10" xfId="6" applyNumberFormat="1" applyFont="1" applyBorder="1"/>
    <xf numFmtId="166" fontId="12" fillId="0" borderId="0" xfId="6" applyNumberFormat="1" applyFont="1" applyBorder="1"/>
    <xf numFmtId="166" fontId="12" fillId="0" borderId="0" xfId="6" applyNumberFormat="1" applyFont="1" applyBorder="1" applyAlignment="1">
      <alignment horizontal="center"/>
    </xf>
    <xf numFmtId="166" fontId="13" fillId="0" borderId="16" xfId="6" applyNumberFormat="1" applyFont="1" applyBorder="1"/>
    <xf numFmtId="166" fontId="13" fillId="0" borderId="17" xfId="6" applyNumberFormat="1" applyFont="1" applyBorder="1"/>
    <xf numFmtId="4" fontId="13" fillId="0" borderId="16" xfId="6" applyNumberFormat="1" applyFont="1" applyBorder="1"/>
    <xf numFmtId="0" fontId="13" fillId="0" borderId="10" xfId="5" applyFont="1" applyBorder="1"/>
    <xf numFmtId="0" fontId="13" fillId="0" borderId="0" xfId="5" applyFont="1" applyBorder="1"/>
    <xf numFmtId="166" fontId="13" fillId="2" borderId="0" xfId="6" applyNumberFormat="1" applyFont="1" applyFill="1" applyBorder="1"/>
    <xf numFmtId="166" fontId="13" fillId="2" borderId="0" xfId="6" applyNumberFormat="1" applyFont="1" applyFill="1" applyBorder="1" applyAlignment="1">
      <alignment horizontal="center"/>
    </xf>
    <xf numFmtId="14" fontId="13" fillId="0" borderId="0" xfId="5" applyNumberFormat="1" applyFont="1" applyBorder="1"/>
    <xf numFmtId="166" fontId="13" fillId="3" borderId="0" xfId="6" applyNumberFormat="1" applyFont="1" applyFill="1" applyBorder="1"/>
    <xf numFmtId="14" fontId="13" fillId="0" borderId="10" xfId="5" applyNumberFormat="1" applyFont="1" applyBorder="1"/>
    <xf numFmtId="166" fontId="13" fillId="0" borderId="0" xfId="6" applyNumberFormat="1" applyFont="1" applyBorder="1"/>
    <xf numFmtId="166" fontId="13" fillId="0" borderId="0" xfId="6" applyNumberFormat="1" applyFont="1" applyBorder="1" applyAlignment="1">
      <alignment horizontal="center"/>
    </xf>
    <xf numFmtId="0" fontId="14" fillId="0" borderId="10" xfId="5" applyFont="1" applyBorder="1"/>
    <xf numFmtId="0" fontId="13" fillId="2" borderId="0" xfId="5" applyFont="1" applyFill="1" applyBorder="1"/>
    <xf numFmtId="4" fontId="13" fillId="5" borderId="16" xfId="6" applyNumberFormat="1" applyFont="1" applyFill="1" applyBorder="1"/>
    <xf numFmtId="166" fontId="13" fillId="4" borderId="0" xfId="6" applyNumberFormat="1" applyFont="1" applyFill="1" applyBorder="1"/>
    <xf numFmtId="0" fontId="13" fillId="0" borderId="8" xfId="5" applyFont="1" applyBorder="1"/>
    <xf numFmtId="166" fontId="13" fillId="0" borderId="9" xfId="6" applyNumberFormat="1" applyFont="1" applyBorder="1"/>
    <xf numFmtId="166" fontId="13" fillId="0" borderId="9" xfId="6" applyNumberFormat="1" applyFont="1" applyBorder="1" applyAlignment="1">
      <alignment horizontal="center"/>
    </xf>
    <xf numFmtId="0" fontId="13" fillId="0" borderId="9" xfId="5" applyFont="1" applyBorder="1"/>
    <xf numFmtId="0" fontId="13" fillId="0" borderId="18" xfId="5" applyFont="1" applyBorder="1"/>
    <xf numFmtId="0" fontId="13" fillId="0" borderId="19" xfId="5" applyFont="1" applyBorder="1"/>
    <xf numFmtId="4" fontId="13" fillId="0" borderId="18" xfId="5" applyNumberFormat="1" applyFont="1" applyBorder="1"/>
    <xf numFmtId="4" fontId="13" fillId="0" borderId="16" xfId="5" applyNumberFormat="1" applyFont="1" applyBorder="1"/>
    <xf numFmtId="14" fontId="13" fillId="0" borderId="17" xfId="5" applyNumberFormat="1" applyFont="1" applyBorder="1"/>
    <xf numFmtId="0" fontId="13" fillId="0" borderId="11" xfId="5" applyFont="1" applyBorder="1"/>
    <xf numFmtId="0" fontId="13" fillId="0" borderId="6" xfId="5" applyFont="1" applyBorder="1"/>
    <xf numFmtId="166" fontId="13" fillId="2" borderId="6" xfId="6" applyNumberFormat="1" applyFont="1" applyFill="1" applyBorder="1"/>
    <xf numFmtId="166" fontId="13" fillId="2" borderId="6" xfId="6" applyNumberFormat="1" applyFont="1" applyFill="1" applyBorder="1" applyAlignment="1">
      <alignment horizontal="center"/>
    </xf>
    <xf numFmtId="14" fontId="13" fillId="0" borderId="6" xfId="5" applyNumberFormat="1" applyFont="1" applyBorder="1"/>
    <xf numFmtId="166" fontId="13" fillId="0" borderId="20" xfId="6" applyNumberFormat="1" applyFont="1" applyBorder="1"/>
    <xf numFmtId="166" fontId="13" fillId="0" borderId="21" xfId="6" applyNumberFormat="1" applyFont="1" applyBorder="1"/>
    <xf numFmtId="166" fontId="13" fillId="4" borderId="6" xfId="6" applyNumberFormat="1" applyFont="1" applyFill="1" applyBorder="1"/>
    <xf numFmtId="14" fontId="13" fillId="0" borderId="11" xfId="5" applyNumberFormat="1" applyFont="1" applyBorder="1"/>
    <xf numFmtId="166" fontId="13" fillId="0" borderId="6" xfId="6" applyNumberFormat="1" applyFont="1" applyBorder="1"/>
    <xf numFmtId="166" fontId="13" fillId="0" borderId="6" xfId="6" applyNumberFormat="1" applyFont="1" applyBorder="1" applyAlignment="1">
      <alignment horizontal="center"/>
    </xf>
    <xf numFmtId="4" fontId="13" fillId="0" borderId="6" xfId="5" applyNumberFormat="1" applyFont="1" applyBorder="1"/>
    <xf numFmtId="166" fontId="13" fillId="0" borderId="22" xfId="6" applyNumberFormat="1" applyFont="1" applyBorder="1"/>
    <xf numFmtId="4" fontId="13" fillId="0" borderId="22" xfId="6" applyNumberFormat="1" applyFont="1" applyBorder="1"/>
    <xf numFmtId="0" fontId="13" fillId="0" borderId="0" xfId="5" applyFont="1"/>
    <xf numFmtId="166" fontId="13" fillId="0" borderId="0" xfId="6" applyNumberFormat="1" applyFont="1"/>
    <xf numFmtId="166" fontId="13" fillId="0" borderId="0" xfId="6" applyNumberFormat="1" applyFont="1" applyAlignment="1">
      <alignment horizontal="center"/>
    </xf>
    <xf numFmtId="4" fontId="3" fillId="0" borderId="0" xfId="5" applyNumberFormat="1"/>
    <xf numFmtId="14" fontId="9" fillId="0" borderId="0" xfId="0" applyNumberFormat="1" applyFont="1"/>
    <xf numFmtId="3" fontId="9" fillId="0" borderId="0" xfId="0" applyNumberFormat="1" applyFont="1" applyAlignment="1">
      <alignment horizontal="center"/>
    </xf>
    <xf numFmtId="166" fontId="12" fillId="2" borderId="9" xfId="6" applyNumberFormat="1" applyFont="1" applyFill="1" applyBorder="1" applyAlignment="1">
      <alignment wrapText="1"/>
    </xf>
    <xf numFmtId="0" fontId="0" fillId="0" borderId="0" xfId="0"/>
    <xf numFmtId="4" fontId="9" fillId="0" borderId="0" xfId="0" applyNumberFormat="1" applyFont="1"/>
    <xf numFmtId="0" fontId="9" fillId="0" borderId="0" xfId="0" applyFont="1" applyAlignment="1">
      <alignment horizontal="center"/>
    </xf>
    <xf numFmtId="4" fontId="9" fillId="0" borderId="0" xfId="0" applyNumberFormat="1" applyFont="1" applyFill="1"/>
    <xf numFmtId="4" fontId="0" fillId="0" borderId="0" xfId="0" applyNumberFormat="1" applyBorder="1"/>
    <xf numFmtId="0" fontId="9" fillId="0" borderId="0" xfId="0" applyFont="1"/>
    <xf numFmtId="4" fontId="9" fillId="0" borderId="0" xfId="0" applyNumberFormat="1" applyFont="1"/>
    <xf numFmtId="0" fontId="9" fillId="0" borderId="0" xfId="0" applyFont="1"/>
    <xf numFmtId="4" fontId="9" fillId="0" borderId="0" xfId="0" applyNumberFormat="1" applyFont="1" applyBorder="1"/>
    <xf numFmtId="4" fontId="9" fillId="0" borderId="0" xfId="0" applyNumberFormat="1" applyFont="1"/>
    <xf numFmtId="4" fontId="9" fillId="0" borderId="0" xfId="0" applyNumberFormat="1" applyFont="1"/>
    <xf numFmtId="4" fontId="9" fillId="0" borderId="0" xfId="0" applyNumberFormat="1" applyFont="1"/>
    <xf numFmtId="4" fontId="9" fillId="0" borderId="0" xfId="0" applyNumberFormat="1" applyFont="1"/>
    <xf numFmtId="4" fontId="9" fillId="0" borderId="0" xfId="0" applyNumberFormat="1" applyFont="1"/>
    <xf numFmtId="0" fontId="0" fillId="0" borderId="0" xfId="0"/>
    <xf numFmtId="4" fontId="9" fillId="0" borderId="0" xfId="0" applyNumberFormat="1" applyFont="1"/>
    <xf numFmtId="0" fontId="9" fillId="0" borderId="0" xfId="0" applyFont="1" applyAlignment="1">
      <alignment horizontal="center"/>
    </xf>
    <xf numFmtId="0" fontId="9" fillId="0" borderId="0" xfId="0" applyFont="1"/>
    <xf numFmtId="4" fontId="9" fillId="0" borderId="0" xfId="0" applyNumberFormat="1" applyFont="1" applyBorder="1"/>
    <xf numFmtId="4" fontId="7" fillId="0" borderId="4" xfId="0" applyNumberFormat="1" applyFont="1" applyBorder="1"/>
    <xf numFmtId="4" fontId="13" fillId="0" borderId="23" xfId="5" applyNumberFormat="1" applyFont="1" applyBorder="1"/>
    <xf numFmtId="4" fontId="13" fillId="0" borderId="24" xfId="6" applyNumberFormat="1" applyFont="1" applyBorder="1"/>
    <xf numFmtId="4" fontId="13" fillId="5" borderId="24" xfId="6" applyNumberFormat="1" applyFont="1" applyFill="1" applyBorder="1"/>
    <xf numFmtId="4" fontId="13" fillId="5" borderId="25" xfId="6" applyNumberFormat="1" applyFont="1" applyFill="1" applyBorder="1"/>
    <xf numFmtId="0" fontId="9" fillId="0" borderId="12" xfId="0" applyNumberFormat="1" applyFont="1" applyBorder="1"/>
    <xf numFmtId="0" fontId="9" fillId="0" borderId="15" xfId="0" applyNumberFormat="1" applyFont="1" applyBorder="1"/>
    <xf numFmtId="0" fontId="0" fillId="0" borderId="0" xfId="0" applyFont="1" applyAlignment="1">
      <alignment horizontal="left"/>
    </xf>
    <xf numFmtId="0" fontId="7" fillId="0" borderId="0" xfId="0" applyFont="1" applyBorder="1" applyAlignment="1">
      <alignment horizontal="right"/>
    </xf>
    <xf numFmtId="0" fontId="7" fillId="0" borderId="1" xfId="0" applyFont="1" applyBorder="1" applyAlignment="1">
      <alignment horizontal="right"/>
    </xf>
    <xf numFmtId="4" fontId="7" fillId="0" borderId="3" xfId="0" applyNumberFormat="1" applyFont="1" applyBorder="1" applyAlignment="1">
      <alignment horizontal="right"/>
    </xf>
    <xf numFmtId="4" fontId="9" fillId="0" borderId="0" xfId="0" applyNumberFormat="1" applyFont="1" applyFill="1" applyAlignment="1">
      <alignment horizontal="center"/>
    </xf>
    <xf numFmtId="4" fontId="7" fillId="0" borderId="0" xfId="0" applyNumberFormat="1" applyFont="1"/>
    <xf numFmtId="166" fontId="13" fillId="0" borderId="26" xfId="6" applyNumberFormat="1" applyFont="1" applyBorder="1"/>
    <xf numFmtId="4" fontId="13" fillId="5" borderId="26" xfId="6" applyNumberFormat="1" applyFont="1" applyFill="1" applyBorder="1"/>
    <xf numFmtId="3" fontId="0" fillId="0" borderId="0" xfId="0" applyNumberFormat="1" applyAlignment="1">
      <alignment horizontal="left"/>
    </xf>
    <xf numFmtId="3" fontId="16" fillId="0" borderId="0" xfId="0" applyNumberFormat="1" applyFont="1" applyAlignment="1">
      <alignment horizontal="center"/>
    </xf>
    <xf numFmtId="3" fontId="16" fillId="0" borderId="0" xfId="0" applyNumberFormat="1" applyFont="1" applyAlignment="1">
      <alignment horizontal="center" wrapText="1"/>
    </xf>
    <xf numFmtId="0" fontId="7" fillId="0" borderId="0" xfId="0" applyFont="1" applyBorder="1" applyAlignment="1">
      <alignment horizontal="center"/>
    </xf>
    <xf numFmtId="0" fontId="0" fillId="0" borderId="0" xfId="0" applyAlignment="1"/>
    <xf numFmtId="0" fontId="12" fillId="0" borderId="12" xfId="5" applyFont="1" applyBorder="1" applyAlignment="1">
      <alignment horizontal="center" vertical="center" wrapText="1"/>
    </xf>
    <xf numFmtId="0" fontId="12" fillId="0" borderId="4" xfId="5" applyFont="1" applyBorder="1" applyAlignment="1">
      <alignment horizontal="center" vertical="center" wrapText="1"/>
    </xf>
    <xf numFmtId="0" fontId="12" fillId="0" borderId="13" xfId="5" applyFont="1" applyBorder="1" applyAlignment="1">
      <alignment horizontal="center" vertical="center" wrapText="1"/>
    </xf>
  </cellXfs>
  <cellStyles count="15">
    <cellStyle name="Currency 2" xfId="2"/>
    <cellStyle name="Currency 2 2" xfId="8"/>
    <cellStyle name="Currency 2 3" xfId="12"/>
    <cellStyle name="Currency 3" xfId="4"/>
    <cellStyle name="Currency 3 2" xfId="6"/>
    <cellStyle name="Currency 3 3" xfId="10"/>
    <cellStyle name="Currency 3 4" xfId="14"/>
    <cellStyle name="Normal" xfId="0" builtinId="0"/>
    <cellStyle name="Normal 2" xfId="1"/>
    <cellStyle name="Normal 2 2" xfId="7"/>
    <cellStyle name="Normal 2 3" xfId="11"/>
    <cellStyle name="Normal 3" xfId="3"/>
    <cellStyle name="Normal 3 2" xfId="5"/>
    <cellStyle name="Normal 3 3" xfId="9"/>
    <cellStyle name="Normal 3 4" xfId="1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F60"/>
  <sheetViews>
    <sheetView tabSelected="1" view="pageLayout" topLeftCell="B36" zoomScaleNormal="100" workbookViewId="0">
      <selection activeCell="F51" sqref="F51"/>
    </sheetView>
  </sheetViews>
  <sheetFormatPr defaultRowHeight="12.75" x14ac:dyDescent="0.2"/>
  <cols>
    <col min="1" max="1" width="9.7109375" style="1" customWidth="1"/>
    <col min="2" max="2" width="28.85546875" style="1" customWidth="1"/>
    <col min="3" max="3" width="11.7109375" bestFit="1" customWidth="1"/>
    <col min="4" max="4" width="10.28515625" customWidth="1"/>
    <col min="5" max="5" width="10.85546875" style="10" customWidth="1"/>
    <col min="6" max="6" width="57.42578125" style="1" customWidth="1"/>
  </cols>
  <sheetData>
    <row r="1" spans="1:6" ht="13.5" thickBo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3.75" customHeight="1" thickBot="1" x14ac:dyDescent="0.25">
      <c r="A2" s="5"/>
      <c r="B2" s="5"/>
      <c r="C2" s="4"/>
      <c r="D2" s="4"/>
      <c r="E2" s="16"/>
      <c r="F2" s="5"/>
    </row>
    <row r="3" spans="1:6" ht="16.5" hidden="1" customHeight="1" x14ac:dyDescent="0.2">
      <c r="A3" s="6"/>
      <c r="B3" s="8"/>
      <c r="C3" s="13"/>
      <c r="D3" s="13"/>
      <c r="E3" s="17"/>
      <c r="F3" s="7"/>
    </row>
    <row r="4" spans="1:6" ht="14.45" customHeight="1" x14ac:dyDescent="0.2">
      <c r="A4" s="6">
        <v>40908</v>
      </c>
      <c r="B4" s="1" t="s">
        <v>116</v>
      </c>
      <c r="C4" s="7"/>
      <c r="D4" s="7"/>
      <c r="E4" s="17">
        <f>47276.67-3000-250-1000</f>
        <v>43026.67</v>
      </c>
      <c r="F4" s="1" t="s">
        <v>117</v>
      </c>
    </row>
    <row r="5" spans="1:6" x14ac:dyDescent="0.2">
      <c r="A5" s="6">
        <v>40908</v>
      </c>
      <c r="B5" s="1" t="s">
        <v>41</v>
      </c>
      <c r="C5" s="7">
        <v>3000</v>
      </c>
      <c r="D5" s="7"/>
      <c r="E5" s="17">
        <f>+E4-D5+C5</f>
        <v>46026.67</v>
      </c>
      <c r="F5" s="1" t="s">
        <v>115</v>
      </c>
    </row>
    <row r="6" spans="1:6" x14ac:dyDescent="0.2">
      <c r="A6" s="6">
        <v>40908</v>
      </c>
      <c r="B6" s="1" t="s">
        <v>41</v>
      </c>
      <c r="C6" s="7">
        <v>250</v>
      </c>
      <c r="D6" s="7"/>
      <c r="E6" s="17">
        <f t="shared" ref="E6:E52" si="0">+E5-D6+C6</f>
        <v>46276.67</v>
      </c>
      <c r="F6" s="15" t="s">
        <v>118</v>
      </c>
    </row>
    <row r="7" spans="1:6" s="152" customFormat="1" x14ac:dyDescent="0.2">
      <c r="A7" s="6">
        <v>40917</v>
      </c>
      <c r="B7" s="1" t="s">
        <v>41</v>
      </c>
      <c r="C7" s="7">
        <v>1000</v>
      </c>
      <c r="D7" s="7"/>
      <c r="E7" s="17">
        <f t="shared" si="0"/>
        <v>47276.67</v>
      </c>
      <c r="F7" s="15" t="s">
        <v>119</v>
      </c>
    </row>
    <row r="8" spans="1:6" x14ac:dyDescent="0.2">
      <c r="A8" s="6">
        <v>40917</v>
      </c>
      <c r="B8" s="1" t="s">
        <v>41</v>
      </c>
      <c r="C8" s="7">
        <v>5000</v>
      </c>
      <c r="D8" s="7"/>
      <c r="E8" s="17">
        <f t="shared" si="0"/>
        <v>52276.67</v>
      </c>
      <c r="F8" s="1" t="s">
        <v>120</v>
      </c>
    </row>
    <row r="9" spans="1:6" x14ac:dyDescent="0.2">
      <c r="A9" s="6">
        <v>40917</v>
      </c>
      <c r="B9" s="1" t="s">
        <v>41</v>
      </c>
      <c r="C9" s="7">
        <v>1000</v>
      </c>
      <c r="D9" s="7"/>
      <c r="E9" s="17">
        <f t="shared" si="0"/>
        <v>53276.67</v>
      </c>
      <c r="F9" s="15" t="s">
        <v>121</v>
      </c>
    </row>
    <row r="10" spans="1:6" x14ac:dyDescent="0.2">
      <c r="A10" s="6">
        <v>40917</v>
      </c>
      <c r="B10" s="1" t="s">
        <v>41</v>
      </c>
      <c r="C10" s="7">
        <v>3000</v>
      </c>
      <c r="D10" s="7"/>
      <c r="E10" s="17">
        <f t="shared" si="0"/>
        <v>56276.67</v>
      </c>
      <c r="F10" s="136" t="s">
        <v>123</v>
      </c>
    </row>
    <row r="11" spans="1:6" x14ac:dyDescent="0.2">
      <c r="A11" s="6">
        <v>40939</v>
      </c>
      <c r="B11" s="20" t="s">
        <v>95</v>
      </c>
      <c r="C11" s="7">
        <v>5000</v>
      </c>
      <c r="D11" s="7"/>
      <c r="E11" s="17">
        <f t="shared" si="0"/>
        <v>61276.67</v>
      </c>
      <c r="F11" s="15" t="s">
        <v>122</v>
      </c>
    </row>
    <row r="12" spans="1:6" s="152" customFormat="1" x14ac:dyDescent="0.2">
      <c r="A12" s="6">
        <v>40926</v>
      </c>
      <c r="B12" s="154" t="s">
        <v>41</v>
      </c>
      <c r="C12" s="7">
        <v>1000</v>
      </c>
      <c r="D12" s="7"/>
      <c r="E12" s="17">
        <f t="shared" si="0"/>
        <v>62276.67</v>
      </c>
      <c r="F12" s="1" t="s">
        <v>126</v>
      </c>
    </row>
    <row r="13" spans="1:6" s="152" customFormat="1" x14ac:dyDescent="0.2">
      <c r="A13" s="6">
        <v>40920</v>
      </c>
      <c r="B13" s="154" t="s">
        <v>41</v>
      </c>
      <c r="C13" s="7">
        <v>1000</v>
      </c>
      <c r="D13" s="7"/>
      <c r="E13" s="17">
        <f t="shared" si="0"/>
        <v>63276.67</v>
      </c>
      <c r="F13" s="1" t="s">
        <v>127</v>
      </c>
    </row>
    <row r="14" spans="1:6" s="152" customFormat="1" x14ac:dyDescent="0.2">
      <c r="A14" s="6">
        <v>40927</v>
      </c>
      <c r="B14" s="154" t="s">
        <v>41</v>
      </c>
      <c r="C14" s="7">
        <v>1000</v>
      </c>
      <c r="D14" s="7"/>
      <c r="E14" s="17">
        <f t="shared" si="0"/>
        <v>64276.67</v>
      </c>
      <c r="F14" s="1" t="s">
        <v>128</v>
      </c>
    </row>
    <row r="15" spans="1:6" s="152" customFormat="1" x14ac:dyDescent="0.2">
      <c r="A15" s="6">
        <v>40931</v>
      </c>
      <c r="B15" s="154" t="s">
        <v>41</v>
      </c>
      <c r="C15" s="7">
        <v>3000</v>
      </c>
      <c r="D15" s="7"/>
      <c r="E15" s="17">
        <f t="shared" si="0"/>
        <v>67276.67</v>
      </c>
      <c r="F15" s="1" t="s">
        <v>129</v>
      </c>
    </row>
    <row r="16" spans="1:6" s="152" customFormat="1" x14ac:dyDescent="0.2">
      <c r="A16" s="6">
        <v>40920</v>
      </c>
      <c r="B16" s="154" t="s">
        <v>41</v>
      </c>
      <c r="C16" s="7">
        <v>3000</v>
      </c>
      <c r="D16" s="7"/>
      <c r="E16" s="17">
        <f t="shared" si="0"/>
        <v>70276.67</v>
      </c>
      <c r="F16" s="1" t="s">
        <v>130</v>
      </c>
    </row>
    <row r="17" spans="1:6" s="152" customFormat="1" x14ac:dyDescent="0.2">
      <c r="A17" s="6">
        <v>40926</v>
      </c>
      <c r="B17" s="154" t="s">
        <v>41</v>
      </c>
      <c r="C17" s="7">
        <v>250</v>
      </c>
      <c r="D17" s="7"/>
      <c r="E17" s="17">
        <f t="shared" si="0"/>
        <v>70526.67</v>
      </c>
      <c r="F17" s="1" t="s">
        <v>131</v>
      </c>
    </row>
    <row r="18" spans="1:6" s="152" customFormat="1" x14ac:dyDescent="0.2">
      <c r="A18" s="6">
        <v>40931</v>
      </c>
      <c r="B18" s="154" t="s">
        <v>41</v>
      </c>
      <c r="C18" s="7">
        <v>250</v>
      </c>
      <c r="D18" s="7"/>
      <c r="E18" s="17">
        <f t="shared" si="0"/>
        <v>70776.67</v>
      </c>
      <c r="F18" s="1" t="s">
        <v>132</v>
      </c>
    </row>
    <row r="19" spans="1:6" s="152" customFormat="1" x14ac:dyDescent="0.2">
      <c r="A19" s="6">
        <v>40920</v>
      </c>
      <c r="B19" s="154" t="s">
        <v>41</v>
      </c>
      <c r="C19" s="7">
        <v>250</v>
      </c>
      <c r="D19" s="7"/>
      <c r="E19" s="17">
        <f t="shared" si="0"/>
        <v>71026.67</v>
      </c>
      <c r="F19" s="1" t="s">
        <v>133</v>
      </c>
    </row>
    <row r="20" spans="1:6" s="152" customFormat="1" x14ac:dyDescent="0.2">
      <c r="A20" s="6">
        <v>40935</v>
      </c>
      <c r="B20" s="1" t="s">
        <v>41</v>
      </c>
      <c r="C20" s="7">
        <v>1000</v>
      </c>
      <c r="D20" s="7"/>
      <c r="E20" s="17">
        <f t="shared" si="0"/>
        <v>72026.67</v>
      </c>
      <c r="F20" s="15" t="s">
        <v>134</v>
      </c>
    </row>
    <row r="21" spans="1:6" s="152" customFormat="1" x14ac:dyDescent="0.2">
      <c r="A21" s="6">
        <v>40931</v>
      </c>
      <c r="B21" s="1" t="s">
        <v>41</v>
      </c>
      <c r="C21" s="7">
        <v>1000</v>
      </c>
      <c r="D21" s="7"/>
      <c r="E21" s="17">
        <f t="shared" si="0"/>
        <v>73026.67</v>
      </c>
      <c r="F21" s="15" t="s">
        <v>135</v>
      </c>
    </row>
    <row r="22" spans="1:6" s="152" customFormat="1" hidden="1" x14ac:dyDescent="0.2">
      <c r="A22" s="6"/>
      <c r="B22" s="1"/>
      <c r="C22" s="7"/>
      <c r="D22" s="7"/>
      <c r="E22" s="17">
        <f t="shared" si="0"/>
        <v>73026.67</v>
      </c>
      <c r="F22" s="15"/>
    </row>
    <row r="23" spans="1:6" s="152" customFormat="1" hidden="1" x14ac:dyDescent="0.2">
      <c r="A23" s="6"/>
      <c r="B23" s="1"/>
      <c r="C23" s="7"/>
      <c r="D23" s="7"/>
      <c r="E23" s="17">
        <f t="shared" si="0"/>
        <v>73026.67</v>
      </c>
      <c r="F23" s="15"/>
    </row>
    <row r="24" spans="1:6" s="152" customFormat="1" hidden="1" x14ac:dyDescent="0.2">
      <c r="A24" s="6"/>
      <c r="B24" s="1"/>
      <c r="C24" s="7"/>
      <c r="D24" s="7"/>
      <c r="E24" s="17">
        <f t="shared" si="0"/>
        <v>73026.67</v>
      </c>
      <c r="F24" s="15"/>
    </row>
    <row r="25" spans="1:6" s="152" customFormat="1" hidden="1" x14ac:dyDescent="0.2">
      <c r="A25" s="6"/>
      <c r="B25" s="1"/>
      <c r="C25" s="7"/>
      <c r="D25" s="7"/>
      <c r="E25" s="17">
        <f t="shared" si="0"/>
        <v>73026.67</v>
      </c>
      <c r="F25" s="15"/>
    </row>
    <row r="26" spans="1:6" s="152" customFormat="1" x14ac:dyDescent="0.2">
      <c r="A26" s="6">
        <v>40917</v>
      </c>
      <c r="B26" s="1" t="s">
        <v>41</v>
      </c>
      <c r="C26" s="7">
        <v>1000</v>
      </c>
      <c r="D26" s="7"/>
      <c r="E26" s="17">
        <f t="shared" si="0"/>
        <v>74026.67</v>
      </c>
      <c r="F26" s="154" t="s">
        <v>143</v>
      </c>
    </row>
    <row r="27" spans="1:6" s="152" customFormat="1" x14ac:dyDescent="0.2">
      <c r="A27" s="6">
        <v>40939</v>
      </c>
      <c r="B27" s="154" t="s">
        <v>137</v>
      </c>
      <c r="C27" s="7"/>
      <c r="D27" s="7">
        <v>586.65</v>
      </c>
      <c r="E27" s="17">
        <f t="shared" si="0"/>
        <v>73440.02</v>
      </c>
      <c r="F27" s="136" t="s">
        <v>138</v>
      </c>
    </row>
    <row r="28" spans="1:6" s="152" customFormat="1" x14ac:dyDescent="0.2">
      <c r="A28" s="6">
        <v>40939</v>
      </c>
      <c r="B28" s="1" t="s">
        <v>141</v>
      </c>
      <c r="C28" s="7"/>
      <c r="D28" s="7">
        <v>303.38</v>
      </c>
      <c r="E28" s="17">
        <f t="shared" si="0"/>
        <v>73136.639999999999</v>
      </c>
      <c r="F28" s="136" t="s">
        <v>142</v>
      </c>
    </row>
    <row r="29" spans="1:6" s="152" customFormat="1" x14ac:dyDescent="0.2">
      <c r="A29" s="6">
        <v>40948</v>
      </c>
      <c r="B29" s="1" t="s">
        <v>41</v>
      </c>
      <c r="C29" s="7">
        <v>25</v>
      </c>
      <c r="D29" s="7"/>
      <c r="E29" s="17">
        <f t="shared" si="0"/>
        <v>73161.64</v>
      </c>
      <c r="F29" s="136" t="s">
        <v>125</v>
      </c>
    </row>
    <row r="30" spans="1:6" s="152" customFormat="1" x14ac:dyDescent="0.2">
      <c r="A30" s="6">
        <v>40966</v>
      </c>
      <c r="B30" s="154" t="s">
        <v>41</v>
      </c>
      <c r="C30" s="7">
        <v>3000</v>
      </c>
      <c r="D30" s="7"/>
      <c r="E30" s="17">
        <f t="shared" si="0"/>
        <v>76161.64</v>
      </c>
      <c r="F30" s="1" t="s">
        <v>136</v>
      </c>
    </row>
    <row r="31" spans="1:6" s="152" customFormat="1" x14ac:dyDescent="0.2">
      <c r="A31" s="6">
        <v>40940</v>
      </c>
      <c r="B31" s="154" t="s">
        <v>145</v>
      </c>
      <c r="C31" s="7"/>
      <c r="D31" s="7">
        <v>1161</v>
      </c>
      <c r="E31" s="17">
        <f t="shared" si="0"/>
        <v>75000.639999999999</v>
      </c>
      <c r="F31" s="136" t="s">
        <v>146</v>
      </c>
    </row>
    <row r="32" spans="1:6" s="152" customFormat="1" x14ac:dyDescent="0.2">
      <c r="A32" s="6">
        <v>40974</v>
      </c>
      <c r="B32" s="41" t="s">
        <v>148</v>
      </c>
      <c r="C32" s="7"/>
      <c r="D32" s="7">
        <v>850</v>
      </c>
      <c r="E32" s="17">
        <f t="shared" si="0"/>
        <v>74150.64</v>
      </c>
      <c r="F32" s="136" t="s">
        <v>149</v>
      </c>
    </row>
    <row r="33" spans="1:6" s="152" customFormat="1" x14ac:dyDescent="0.2">
      <c r="A33" s="6">
        <v>40982</v>
      </c>
      <c r="B33" s="154" t="s">
        <v>145</v>
      </c>
      <c r="C33" s="7"/>
      <c r="D33" s="7">
        <v>1293.74</v>
      </c>
      <c r="E33" s="17">
        <f t="shared" si="0"/>
        <v>72856.899999999994</v>
      </c>
      <c r="F33" s="136" t="s">
        <v>150</v>
      </c>
    </row>
    <row r="34" spans="1:6" s="152" customFormat="1" x14ac:dyDescent="0.2">
      <c r="A34" s="6">
        <v>40991</v>
      </c>
      <c r="B34" s="154" t="s">
        <v>145</v>
      </c>
      <c r="C34" s="7"/>
      <c r="D34" s="7">
        <v>1293.75</v>
      </c>
      <c r="E34" s="17">
        <f t="shared" si="0"/>
        <v>71563.149999999994</v>
      </c>
      <c r="F34" s="136" t="s">
        <v>151</v>
      </c>
    </row>
    <row r="35" spans="1:6" s="152" customFormat="1" x14ac:dyDescent="0.2">
      <c r="A35" s="6">
        <v>41009</v>
      </c>
      <c r="B35" s="154" t="s">
        <v>41</v>
      </c>
      <c r="C35" s="7">
        <v>500</v>
      </c>
      <c r="D35" s="7"/>
      <c r="E35" s="17">
        <f t="shared" si="0"/>
        <v>72063.149999999994</v>
      </c>
      <c r="F35" s="136" t="s">
        <v>162</v>
      </c>
    </row>
    <row r="36" spans="1:6" s="152" customFormat="1" x14ac:dyDescent="0.2">
      <c r="A36" s="6">
        <v>41051</v>
      </c>
      <c r="B36" s="154" t="s">
        <v>158</v>
      </c>
      <c r="C36" s="7"/>
      <c r="D36" s="7">
        <v>386.85</v>
      </c>
      <c r="E36" s="17">
        <f t="shared" si="0"/>
        <v>71676.299999999988</v>
      </c>
      <c r="F36" s="136" t="s">
        <v>159</v>
      </c>
    </row>
    <row r="37" spans="1:6" s="152" customFormat="1" x14ac:dyDescent="0.2">
      <c r="A37" s="6">
        <v>41033</v>
      </c>
      <c r="B37" s="154" t="s">
        <v>145</v>
      </c>
      <c r="C37" s="7"/>
      <c r="D37" s="7">
        <v>1293.76</v>
      </c>
      <c r="E37" s="17">
        <f t="shared" si="0"/>
        <v>70382.539999999994</v>
      </c>
      <c r="F37" s="136" t="s">
        <v>160</v>
      </c>
    </row>
    <row r="38" spans="1:6" s="152" customFormat="1" x14ac:dyDescent="0.2">
      <c r="A38" s="6">
        <v>41051</v>
      </c>
      <c r="B38" s="1" t="s">
        <v>41</v>
      </c>
      <c r="C38" s="7">
        <v>25</v>
      </c>
      <c r="D38" s="7"/>
      <c r="E38" s="17">
        <f t="shared" si="0"/>
        <v>70407.539999999994</v>
      </c>
      <c r="F38" s="15" t="s">
        <v>161</v>
      </c>
    </row>
    <row r="39" spans="1:6" s="152" customFormat="1" x14ac:dyDescent="0.2">
      <c r="A39" s="6">
        <v>41051</v>
      </c>
      <c r="B39" s="1" t="s">
        <v>41</v>
      </c>
      <c r="C39" s="7">
        <v>500</v>
      </c>
      <c r="D39" s="7"/>
      <c r="E39" s="17">
        <f t="shared" si="0"/>
        <v>70907.539999999994</v>
      </c>
      <c r="F39" s="15" t="s">
        <v>163</v>
      </c>
    </row>
    <row r="40" spans="1:6" s="152" customFormat="1" ht="24" x14ac:dyDescent="0.2">
      <c r="A40" s="6">
        <v>41088</v>
      </c>
      <c r="B40" s="1" t="s">
        <v>41</v>
      </c>
      <c r="C40" s="7">
        <v>500</v>
      </c>
      <c r="D40" s="7"/>
      <c r="E40" s="17">
        <f t="shared" si="0"/>
        <v>71407.539999999994</v>
      </c>
      <c r="F40" s="174" t="s">
        <v>173</v>
      </c>
    </row>
    <row r="41" spans="1:6" s="152" customFormat="1" x14ac:dyDescent="0.2">
      <c r="A41" s="6">
        <v>41068</v>
      </c>
      <c r="B41" s="1" t="s">
        <v>145</v>
      </c>
      <c r="C41" s="7"/>
      <c r="D41" s="7">
        <v>1293.74</v>
      </c>
      <c r="E41" s="17">
        <f t="shared" si="0"/>
        <v>70113.799999999988</v>
      </c>
      <c r="F41" s="173" t="s">
        <v>177</v>
      </c>
    </row>
    <row r="42" spans="1:6" s="152" customFormat="1" x14ac:dyDescent="0.2">
      <c r="A42" s="6">
        <v>41068</v>
      </c>
      <c r="B42" s="1" t="s">
        <v>174</v>
      </c>
      <c r="C42" s="7"/>
      <c r="D42" s="7">
        <v>121.14</v>
      </c>
      <c r="E42" s="17">
        <f t="shared" si="0"/>
        <v>69992.659999999989</v>
      </c>
      <c r="F42" s="173" t="s">
        <v>179</v>
      </c>
    </row>
    <row r="43" spans="1:6" s="152" customFormat="1" x14ac:dyDescent="0.2">
      <c r="A43" s="6">
        <v>41086</v>
      </c>
      <c r="B43" s="1" t="s">
        <v>180</v>
      </c>
      <c r="C43" s="7"/>
      <c r="D43" s="7">
        <v>95.2</v>
      </c>
      <c r="E43" s="17">
        <f t="shared" si="0"/>
        <v>69897.459999999992</v>
      </c>
      <c r="F43" s="15" t="s">
        <v>181</v>
      </c>
    </row>
    <row r="44" spans="1:6" s="152" customFormat="1" x14ac:dyDescent="0.2">
      <c r="A44" s="6">
        <v>41086</v>
      </c>
      <c r="B44" s="1" t="s">
        <v>182</v>
      </c>
      <c r="C44" s="7"/>
      <c r="D44" s="7">
        <v>12.57</v>
      </c>
      <c r="E44" s="17">
        <f t="shared" si="0"/>
        <v>69884.889999999985</v>
      </c>
      <c r="F44" s="15" t="s">
        <v>183</v>
      </c>
    </row>
    <row r="45" spans="1:6" s="152" customFormat="1" x14ac:dyDescent="0.2">
      <c r="A45" s="6">
        <v>41112</v>
      </c>
      <c r="B45" s="1" t="s">
        <v>145</v>
      </c>
      <c r="C45" s="7"/>
      <c r="D45" s="7">
        <v>1293.75</v>
      </c>
      <c r="E45" s="17">
        <f t="shared" si="0"/>
        <v>68591.139999999985</v>
      </c>
      <c r="F45" s="15" t="s">
        <v>185</v>
      </c>
    </row>
    <row r="46" spans="1:6" s="152" customFormat="1" x14ac:dyDescent="0.2">
      <c r="A46" s="6">
        <v>41109</v>
      </c>
      <c r="B46" s="1" t="s">
        <v>186</v>
      </c>
      <c r="C46" s="7">
        <v>1000</v>
      </c>
      <c r="D46" s="7"/>
      <c r="E46" s="17">
        <f t="shared" si="0"/>
        <v>69591.139999999985</v>
      </c>
      <c r="F46" s="15" t="s">
        <v>187</v>
      </c>
    </row>
    <row r="47" spans="1:6" s="152" customFormat="1" x14ac:dyDescent="0.2">
      <c r="A47" s="6">
        <v>41121</v>
      </c>
      <c r="B47" s="1" t="s">
        <v>158</v>
      </c>
      <c r="C47" s="7"/>
      <c r="D47" s="7">
        <v>119.85</v>
      </c>
      <c r="E47" s="17">
        <f t="shared" si="0"/>
        <v>69471.289999999979</v>
      </c>
      <c r="F47" s="15" t="s">
        <v>156</v>
      </c>
    </row>
    <row r="48" spans="1:6" s="152" customFormat="1" x14ac:dyDescent="0.2">
      <c r="A48" s="6">
        <v>41122</v>
      </c>
      <c r="B48" s="1" t="s">
        <v>145</v>
      </c>
      <c r="C48" s="7"/>
      <c r="D48" s="7">
        <v>1293.76</v>
      </c>
      <c r="E48" s="17">
        <f t="shared" si="0"/>
        <v>68177.529999999984</v>
      </c>
      <c r="F48" s="15" t="s">
        <v>189</v>
      </c>
    </row>
    <row r="49" spans="1:6" s="152" customFormat="1" hidden="1" x14ac:dyDescent="0.2">
      <c r="A49" s="6"/>
      <c r="B49" s="1"/>
      <c r="C49" s="7"/>
      <c r="D49" s="7"/>
      <c r="E49" s="17">
        <f t="shared" si="0"/>
        <v>68177.529999999984</v>
      </c>
      <c r="F49" s="15"/>
    </row>
    <row r="50" spans="1:6" s="152" customFormat="1" hidden="1" x14ac:dyDescent="0.2">
      <c r="A50" s="6"/>
      <c r="B50" s="1"/>
      <c r="C50" s="7"/>
      <c r="D50" s="7"/>
      <c r="E50" s="17">
        <f t="shared" si="0"/>
        <v>68177.529999999984</v>
      </c>
      <c r="F50" s="15"/>
    </row>
    <row r="51" spans="1:6" s="152" customFormat="1" x14ac:dyDescent="0.2">
      <c r="A51" s="6">
        <v>41143</v>
      </c>
      <c r="B51" s="1" t="s">
        <v>191</v>
      </c>
      <c r="C51" s="7"/>
      <c r="D51" s="7">
        <v>11.56</v>
      </c>
      <c r="E51" s="17">
        <f t="shared" si="0"/>
        <v>68165.969999999987</v>
      </c>
      <c r="F51" s="15"/>
    </row>
    <row r="52" spans="1:6" s="152" customFormat="1" x14ac:dyDescent="0.2">
      <c r="A52" s="6"/>
      <c r="B52" s="1"/>
      <c r="C52" s="7"/>
      <c r="D52" s="7"/>
      <c r="E52" s="17">
        <f t="shared" si="0"/>
        <v>68165.969999999987</v>
      </c>
      <c r="F52" s="15"/>
    </row>
    <row r="53" spans="1:6" x14ac:dyDescent="0.2">
      <c r="A53" s="6"/>
      <c r="C53" s="7"/>
      <c r="D53" s="7"/>
      <c r="E53" s="64">
        <f>+E52</f>
        <v>68165.969999999987</v>
      </c>
      <c r="F53" s="15"/>
    </row>
    <row r="54" spans="1:6" x14ac:dyDescent="0.2">
      <c r="A54" s="6"/>
      <c r="C54" s="7"/>
      <c r="E54" s="17"/>
      <c r="F54" s="15"/>
    </row>
    <row r="55" spans="1:6" x14ac:dyDescent="0.2">
      <c r="A55" s="6"/>
      <c r="C55" s="7"/>
      <c r="D55" s="7"/>
      <c r="E55" s="17"/>
    </row>
    <row r="56" spans="1:6" x14ac:dyDescent="0.2">
      <c r="A56" s="6"/>
      <c r="B56" s="8"/>
      <c r="C56" s="7"/>
      <c r="E56" s="17"/>
    </row>
    <row r="57" spans="1:6" x14ac:dyDescent="0.2">
      <c r="A57" s="6"/>
      <c r="C57" s="7"/>
      <c r="D57" s="7"/>
      <c r="E57" s="17"/>
    </row>
    <row r="58" spans="1:6" x14ac:dyDescent="0.2">
      <c r="A58" s="6"/>
      <c r="C58" s="7"/>
      <c r="D58" s="7"/>
      <c r="E58" s="18"/>
      <c r="F58" s="8"/>
    </row>
    <row r="59" spans="1:6" x14ac:dyDescent="0.2">
      <c r="A59" s="6"/>
      <c r="C59" s="7"/>
      <c r="D59" s="7"/>
      <c r="E59" s="18"/>
      <c r="F59" s="8"/>
    </row>
    <row r="60" spans="1:6" x14ac:dyDescent="0.2">
      <c r="A60" s="6"/>
      <c r="C60" s="7"/>
      <c r="D60" s="7"/>
      <c r="E60" s="18"/>
    </row>
  </sheetData>
  <phoneticPr fontId="6" type="noConversion"/>
  <pageMargins left="0.25" right="0.26" top="0.71875" bottom="0.45833333333333298" header="0.35" footer="0.28000000000000003"/>
  <pageSetup scale="80" fitToHeight="2" orientation="portrait" r:id="rId1"/>
  <headerFooter alignWithMargins="0">
    <oddHeader>&amp;C&amp;8US Highway 169 Corridor Coalition &amp;9CHECKING ACCT SUMMARY 
 08-31-2012</oddHeader>
    <oddFooter>&amp;C&amp;7Prepared by Eunie Quade 952-496-8059 Community Services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3"/>
  <sheetViews>
    <sheetView showGridLines="0" view="pageLayout" topLeftCell="E1" zoomScaleNormal="100" workbookViewId="0">
      <selection activeCell="G16" sqref="G16"/>
    </sheetView>
  </sheetViews>
  <sheetFormatPr defaultRowHeight="12.75" x14ac:dyDescent="0.2"/>
  <cols>
    <col min="1" max="1" width="12.5703125" style="50" customWidth="1"/>
    <col min="2" max="2" width="10.42578125" style="1" customWidth="1"/>
    <col min="3" max="3" width="23.140625" style="1" customWidth="1"/>
    <col min="4" max="4" width="11.7109375" style="10" customWidth="1"/>
    <col min="6" max="6" width="10.5703125" customWidth="1"/>
    <col min="8" max="8" width="10.5703125" customWidth="1"/>
    <col min="9" max="9" width="10.28515625" customWidth="1"/>
    <col min="11" max="11" width="10.7109375" customWidth="1"/>
    <col min="13" max="13" width="14.28515625" customWidth="1"/>
  </cols>
  <sheetData>
    <row r="1" spans="1:14" x14ac:dyDescent="0.2">
      <c r="A1" s="48"/>
      <c r="B1" s="2" t="s">
        <v>6</v>
      </c>
      <c r="C1" s="2"/>
      <c r="D1" s="165" t="s">
        <v>51</v>
      </c>
      <c r="E1" s="2"/>
      <c r="F1" s="2"/>
      <c r="G1" s="2"/>
      <c r="H1" s="2"/>
      <c r="I1" s="2" t="s">
        <v>24</v>
      </c>
      <c r="J1" s="2"/>
      <c r="K1" s="2" t="s">
        <v>22</v>
      </c>
      <c r="L1" s="2" t="s">
        <v>23</v>
      </c>
      <c r="M1" s="21" t="s">
        <v>28</v>
      </c>
    </row>
    <row r="2" spans="1:14" ht="13.5" thickBot="1" x14ac:dyDescent="0.25">
      <c r="A2" s="46" t="s">
        <v>18</v>
      </c>
      <c r="B2" s="3" t="s">
        <v>0</v>
      </c>
      <c r="C2" s="3" t="s">
        <v>1</v>
      </c>
      <c r="D2" s="166" t="s">
        <v>9</v>
      </c>
      <c r="E2" s="3" t="s">
        <v>10</v>
      </c>
      <c r="F2" s="3" t="s">
        <v>11</v>
      </c>
      <c r="G2" s="3" t="s">
        <v>12</v>
      </c>
      <c r="H2" s="3" t="s">
        <v>13</v>
      </c>
      <c r="I2" s="3" t="s">
        <v>15</v>
      </c>
      <c r="J2" s="3" t="s">
        <v>14</v>
      </c>
      <c r="K2" s="3" t="s">
        <v>15</v>
      </c>
      <c r="L2" s="3" t="s">
        <v>16</v>
      </c>
      <c r="M2" s="22" t="s">
        <v>29</v>
      </c>
    </row>
    <row r="3" spans="1:14" s="9" customFormat="1" ht="4.1500000000000004" customHeight="1" thickBot="1" x14ac:dyDescent="0.25">
      <c r="A3" s="49"/>
      <c r="B3" s="3"/>
      <c r="C3" s="3"/>
      <c r="D3" s="166"/>
      <c r="E3" s="3"/>
      <c r="F3" s="3"/>
      <c r="G3" s="3"/>
      <c r="H3" s="3"/>
      <c r="I3" s="3"/>
      <c r="J3" s="3"/>
      <c r="K3" s="3"/>
      <c r="L3" s="3"/>
      <c r="M3" s="3"/>
    </row>
    <row r="4" spans="1:14" x14ac:dyDescent="0.2">
      <c r="B4" s="12"/>
      <c r="C4" s="154"/>
      <c r="D4" s="17"/>
      <c r="E4" s="7"/>
      <c r="F4" s="7"/>
      <c r="G4" s="7"/>
      <c r="H4" s="7"/>
      <c r="I4" s="7"/>
      <c r="J4" s="7"/>
      <c r="K4" s="7">
        <f>SUM(D4:J4)</f>
        <v>0</v>
      </c>
      <c r="L4" s="7"/>
      <c r="M4" s="7">
        <f>+L4-K4</f>
        <v>0</v>
      </c>
      <c r="N4" s="7"/>
    </row>
    <row r="5" spans="1:14" x14ac:dyDescent="0.2">
      <c r="A5" s="51">
        <v>41244</v>
      </c>
      <c r="B5" s="12">
        <v>40940</v>
      </c>
      <c r="C5" s="20" t="s">
        <v>144</v>
      </c>
      <c r="D5" s="17"/>
      <c r="E5" s="7"/>
      <c r="F5" s="7"/>
      <c r="G5" s="7"/>
      <c r="H5" s="7"/>
      <c r="I5" s="7"/>
      <c r="J5" s="7"/>
      <c r="K5" s="7">
        <v>1161</v>
      </c>
      <c r="L5" s="7"/>
      <c r="M5" s="7"/>
      <c r="N5" s="7"/>
    </row>
    <row r="6" spans="1:14" x14ac:dyDescent="0.2">
      <c r="A6" s="73">
        <v>40920</v>
      </c>
      <c r="B6" s="36">
        <v>40982</v>
      </c>
      <c r="C6" s="20" t="s">
        <v>152</v>
      </c>
      <c r="D6" s="17"/>
      <c r="E6" s="7"/>
      <c r="F6" s="7"/>
      <c r="G6" s="7"/>
      <c r="H6" s="7"/>
      <c r="I6" s="7"/>
      <c r="J6" s="7"/>
      <c r="K6" s="7">
        <v>1293.74</v>
      </c>
      <c r="L6" s="7"/>
      <c r="M6" s="7"/>
      <c r="N6" s="7"/>
    </row>
    <row r="7" spans="1:14" x14ac:dyDescent="0.2">
      <c r="A7" s="73">
        <v>40940</v>
      </c>
      <c r="B7" s="12">
        <v>40991</v>
      </c>
      <c r="C7" s="154" t="s">
        <v>153</v>
      </c>
      <c r="D7" s="17"/>
      <c r="E7" s="7"/>
      <c r="F7" s="7"/>
      <c r="G7" s="7"/>
      <c r="H7" s="7"/>
      <c r="I7" s="7"/>
      <c r="J7" s="7"/>
      <c r="K7" s="7">
        <v>1293.75</v>
      </c>
      <c r="L7" s="7"/>
      <c r="M7" s="7"/>
      <c r="N7" s="7"/>
    </row>
    <row r="8" spans="1:14" x14ac:dyDescent="0.2">
      <c r="A8" s="50">
        <v>40980</v>
      </c>
      <c r="B8" s="12">
        <v>41022</v>
      </c>
      <c r="C8" s="154" t="s">
        <v>164</v>
      </c>
      <c r="D8" s="17"/>
      <c r="E8" s="7"/>
      <c r="F8" s="7"/>
      <c r="G8" s="7"/>
      <c r="H8" s="7"/>
      <c r="I8" s="7"/>
      <c r="J8" s="7"/>
      <c r="K8" s="7">
        <v>1293.76</v>
      </c>
      <c r="L8" s="7"/>
      <c r="M8" s="7"/>
      <c r="N8" s="7"/>
    </row>
    <row r="9" spans="1:14" x14ac:dyDescent="0.2">
      <c r="A9" s="50">
        <v>41011</v>
      </c>
      <c r="B9" s="12">
        <v>41068</v>
      </c>
      <c r="C9" s="1" t="s">
        <v>178</v>
      </c>
      <c r="D9" s="17"/>
      <c r="E9" s="7"/>
      <c r="F9" s="7"/>
      <c r="G9" s="7"/>
      <c r="H9" s="7"/>
      <c r="I9" s="7"/>
      <c r="J9" s="7"/>
      <c r="K9" s="7">
        <v>1293.74</v>
      </c>
      <c r="L9" s="7"/>
      <c r="M9" s="7"/>
      <c r="N9" s="7"/>
    </row>
    <row r="10" spans="1:14" x14ac:dyDescent="0.2">
      <c r="A10" s="50">
        <v>41030</v>
      </c>
      <c r="B10" s="12">
        <v>41112</v>
      </c>
      <c r="C10" s="154" t="s">
        <v>188</v>
      </c>
      <c r="D10" s="17"/>
      <c r="E10" s="7"/>
      <c r="F10" s="7"/>
      <c r="G10" s="7"/>
      <c r="H10" s="7"/>
      <c r="I10" s="7"/>
      <c r="J10" s="7"/>
      <c r="K10" s="7">
        <v>1293.75</v>
      </c>
      <c r="L10" s="7"/>
      <c r="M10" s="7"/>
      <c r="N10" s="7"/>
    </row>
    <row r="11" spans="1:14" x14ac:dyDescent="0.2">
      <c r="A11" s="50">
        <v>41061</v>
      </c>
      <c r="B11" s="12">
        <v>41115</v>
      </c>
      <c r="C11" s="1" t="s">
        <v>190</v>
      </c>
      <c r="D11" s="17"/>
      <c r="E11" s="7"/>
      <c r="F11" s="7"/>
      <c r="G11" s="7"/>
      <c r="H11" s="7"/>
      <c r="I11" s="7"/>
      <c r="J11" s="7"/>
      <c r="K11" s="7">
        <v>1293.76</v>
      </c>
      <c r="L11" s="7"/>
      <c r="M11" s="7"/>
      <c r="N11" s="7"/>
    </row>
    <row r="12" spans="1:14" x14ac:dyDescent="0.2">
      <c r="A12" s="73"/>
      <c r="B12" s="12"/>
      <c r="C12" s="154"/>
      <c r="D12" s="17"/>
      <c r="E12" s="7"/>
      <c r="F12" s="7"/>
      <c r="G12" s="7"/>
      <c r="H12" s="7"/>
      <c r="I12" s="7"/>
      <c r="J12" s="7"/>
      <c r="K12" s="7"/>
      <c r="L12" s="7"/>
      <c r="M12" s="7"/>
      <c r="N12" s="7"/>
    </row>
    <row r="13" spans="1:14" x14ac:dyDescent="0.2">
      <c r="B13" s="12"/>
      <c r="D13" s="17"/>
      <c r="E13" s="7"/>
      <c r="F13" s="7"/>
      <c r="G13" s="7"/>
      <c r="H13" s="7"/>
      <c r="I13" s="7"/>
      <c r="J13" s="7"/>
      <c r="K13" s="7"/>
      <c r="L13" s="7"/>
      <c r="M13" s="7"/>
      <c r="N13" s="7"/>
    </row>
    <row r="14" spans="1:14" x14ac:dyDescent="0.2">
      <c r="B14" s="12"/>
      <c r="D14" s="1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spans="1:14" s="152" customFormat="1" x14ac:dyDescent="0.2">
      <c r="A15" s="50"/>
      <c r="B15" s="12"/>
      <c r="C15" s="1"/>
      <c r="D15" s="17"/>
      <c r="E15" s="7"/>
      <c r="F15" s="7"/>
      <c r="G15" s="7"/>
      <c r="H15" s="7"/>
      <c r="I15" s="7"/>
      <c r="J15" s="7"/>
      <c r="K15" s="7"/>
      <c r="L15" s="7"/>
      <c r="M15" s="7"/>
      <c r="N15" s="7"/>
    </row>
    <row r="16" spans="1:14" s="152" customFormat="1" x14ac:dyDescent="0.2">
      <c r="A16" s="50"/>
      <c r="B16" s="12"/>
      <c r="C16" s="1"/>
      <c r="D16" s="17"/>
      <c r="E16" s="7"/>
      <c r="F16" s="7"/>
      <c r="G16" s="7"/>
      <c r="H16" s="7"/>
      <c r="I16" s="7"/>
      <c r="J16" s="7"/>
      <c r="K16" s="7"/>
      <c r="L16" s="7"/>
      <c r="M16" s="7"/>
      <c r="N16" s="7"/>
    </row>
    <row r="17" spans="1:14" s="152" customFormat="1" x14ac:dyDescent="0.2">
      <c r="A17" s="50"/>
      <c r="B17" s="12"/>
      <c r="C17" s="1"/>
      <c r="D17" s="17"/>
      <c r="E17" s="7"/>
      <c r="F17" s="7"/>
      <c r="G17" s="7"/>
      <c r="H17" s="7"/>
      <c r="I17" s="7"/>
      <c r="J17" s="7"/>
      <c r="K17" s="7"/>
      <c r="L17" s="7"/>
      <c r="M17" s="7"/>
      <c r="N17" s="7"/>
    </row>
    <row r="18" spans="1:14" x14ac:dyDescent="0.2">
      <c r="B18" s="12"/>
      <c r="D18" s="17"/>
      <c r="E18" s="7"/>
      <c r="F18" s="7"/>
      <c r="G18" s="7"/>
      <c r="H18" s="7"/>
      <c r="I18" s="7"/>
      <c r="J18" s="7"/>
      <c r="K18" s="7"/>
      <c r="L18" s="7"/>
      <c r="M18" s="7"/>
      <c r="N18" s="7"/>
    </row>
    <row r="19" spans="1:14" ht="13.5" thickBot="1" x14ac:dyDescent="0.25">
      <c r="C19" s="8" t="s">
        <v>17</v>
      </c>
      <c r="D19" s="167">
        <f>SUM(D4:D18)</f>
        <v>0</v>
      </c>
      <c r="E19" s="14">
        <f t="shared" ref="E19:K19" si="0">SUM(E4:E18)</f>
        <v>0</v>
      </c>
      <c r="F19" s="14">
        <f t="shared" si="0"/>
        <v>0</v>
      </c>
      <c r="G19" s="14">
        <f t="shared" si="0"/>
        <v>0</v>
      </c>
      <c r="H19" s="14">
        <f t="shared" si="0"/>
        <v>0</v>
      </c>
      <c r="I19" s="14">
        <f t="shared" si="0"/>
        <v>0</v>
      </c>
      <c r="J19" s="14">
        <f t="shared" si="0"/>
        <v>0</v>
      </c>
      <c r="K19" s="14">
        <f t="shared" si="0"/>
        <v>8923.5</v>
      </c>
      <c r="L19" s="14">
        <f>SUM(L4:L18)</f>
        <v>0</v>
      </c>
      <c r="M19" s="14">
        <f>+L19-K19</f>
        <v>-8923.5</v>
      </c>
      <c r="N19" s="7"/>
    </row>
    <row r="20" spans="1:14" ht="13.5" thickTop="1" x14ac:dyDescent="0.2">
      <c r="D20" s="17"/>
      <c r="E20" s="7"/>
      <c r="F20" s="7"/>
      <c r="G20" s="7"/>
      <c r="H20" s="7"/>
      <c r="I20" s="7"/>
      <c r="J20" s="7"/>
      <c r="K20" s="7"/>
      <c r="L20" s="7"/>
      <c r="M20" s="7"/>
      <c r="N20" s="7"/>
    </row>
    <row r="21" spans="1:14" x14ac:dyDescent="0.2">
      <c r="D21" s="17"/>
      <c r="E21" s="7"/>
      <c r="F21" s="7"/>
      <c r="G21" s="7"/>
      <c r="H21" s="7"/>
      <c r="I21" s="7"/>
      <c r="J21" s="7"/>
      <c r="K21" s="7"/>
      <c r="L21" s="7"/>
      <c r="M21" s="7"/>
      <c r="N21" s="7"/>
    </row>
    <row r="22" spans="1:14" x14ac:dyDescent="0.2">
      <c r="A22" s="47"/>
      <c r="D22" s="17"/>
      <c r="E22" s="7"/>
      <c r="F22" s="7"/>
      <c r="G22" s="7"/>
      <c r="H22" s="7"/>
      <c r="I22" s="7"/>
      <c r="J22" s="7"/>
      <c r="K22" s="7"/>
      <c r="L22" s="7"/>
      <c r="M22" s="7"/>
      <c r="N22" s="7"/>
    </row>
    <row r="23" spans="1:14" x14ac:dyDescent="0.2">
      <c r="E23" s="10"/>
    </row>
  </sheetData>
  <phoneticPr fontId="6" type="noConversion"/>
  <pageMargins left="0.37" right="0.2" top="1.61" bottom="1" header="0.8" footer="0.5"/>
  <pageSetup scale="84" orientation="landscape" r:id="rId1"/>
  <headerFooter alignWithMargins="0">
    <oddHeader>&amp;CUS Highway 169 Corridor Coalition
Facilitator/Consultant Summary
 8-31, 2012</oddHeader>
    <oddFooter>&amp;C&amp;8Scoop-PW-Finance-Invoice-Activity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9"/>
  <sheetViews>
    <sheetView view="pageLayout" zoomScaleNormal="100" workbookViewId="0">
      <selection activeCell="C37" sqref="C37"/>
    </sheetView>
  </sheetViews>
  <sheetFormatPr defaultRowHeight="12.75" x14ac:dyDescent="0.2"/>
  <cols>
    <col min="1" max="1" width="44.140625" customWidth="1"/>
    <col min="2" max="2" width="12.7109375" style="24" customWidth="1"/>
    <col min="3" max="3" width="11.85546875" customWidth="1"/>
    <col min="4" max="4" width="10.7109375" style="1" customWidth="1"/>
    <col min="5" max="5" width="10.85546875" style="7" customWidth="1"/>
  </cols>
  <sheetData>
    <row r="1" spans="1:6" x14ac:dyDescent="0.2">
      <c r="A1" s="1"/>
      <c r="B1" s="175" t="s">
        <v>48</v>
      </c>
      <c r="C1" s="176"/>
    </row>
    <row r="2" spans="1:6" s="24" customFormat="1" x14ac:dyDescent="0.2">
      <c r="A2" s="23" t="s">
        <v>19</v>
      </c>
      <c r="B2" s="2" t="s">
        <v>44</v>
      </c>
      <c r="C2" s="2" t="s">
        <v>45</v>
      </c>
      <c r="D2" s="35"/>
      <c r="E2" s="142"/>
      <c r="F2" s="35"/>
    </row>
    <row r="3" spans="1:6" s="24" customFormat="1" x14ac:dyDescent="0.2">
      <c r="A3" s="23" t="s">
        <v>140</v>
      </c>
      <c r="B3" s="63"/>
      <c r="C3" s="17">
        <f>+Balance!E4</f>
        <v>43026.67</v>
      </c>
      <c r="D3" s="65"/>
      <c r="E3" s="142"/>
      <c r="F3" s="65"/>
    </row>
    <row r="4" spans="1:6" x14ac:dyDescent="0.2">
      <c r="A4" s="37" t="s">
        <v>40</v>
      </c>
      <c r="B4" s="30">
        <v>1000</v>
      </c>
      <c r="C4" s="30">
        <v>1000</v>
      </c>
      <c r="D4" s="36"/>
    </row>
    <row r="5" spans="1:6" s="19" customFormat="1" x14ac:dyDescent="0.2">
      <c r="A5" s="71" t="s">
        <v>27</v>
      </c>
      <c r="B5" s="68">
        <v>3000</v>
      </c>
      <c r="C5" s="68">
        <v>3000</v>
      </c>
      <c r="D5" s="69"/>
      <c r="E5" s="168"/>
    </row>
    <row r="6" spans="1:6" s="32" customFormat="1" x14ac:dyDescent="0.2">
      <c r="A6" s="25" t="s">
        <v>37</v>
      </c>
      <c r="B6" s="11">
        <v>5000</v>
      </c>
      <c r="C6" s="11">
        <v>5000</v>
      </c>
      <c r="D6" s="36"/>
      <c r="E6" s="168"/>
    </row>
    <row r="7" spans="1:6" s="19" customFormat="1" x14ac:dyDescent="0.2">
      <c r="A7" s="25" t="s">
        <v>31</v>
      </c>
      <c r="B7" s="30">
        <v>3000</v>
      </c>
      <c r="C7" s="30">
        <v>3000</v>
      </c>
      <c r="D7" s="36"/>
      <c r="E7" s="168"/>
    </row>
    <row r="8" spans="1:6" s="19" customFormat="1" x14ac:dyDescent="0.2">
      <c r="A8" s="25" t="s">
        <v>32</v>
      </c>
      <c r="B8" s="30">
        <v>1000</v>
      </c>
      <c r="C8" s="30">
        <v>1000</v>
      </c>
      <c r="D8" s="36"/>
      <c r="E8" s="168"/>
    </row>
    <row r="9" spans="1:6" x14ac:dyDescent="0.2">
      <c r="A9" s="38" t="s">
        <v>33</v>
      </c>
      <c r="B9" s="30">
        <v>1000</v>
      </c>
      <c r="C9" s="30">
        <v>1000</v>
      </c>
      <c r="D9" s="36"/>
      <c r="E9" s="168"/>
    </row>
    <row r="10" spans="1:6" x14ac:dyDescent="0.2">
      <c r="A10" s="67" t="s">
        <v>36</v>
      </c>
      <c r="B10" s="68">
        <v>1000</v>
      </c>
      <c r="C10" s="68">
        <v>1000</v>
      </c>
      <c r="D10" s="69"/>
      <c r="E10" s="168"/>
    </row>
    <row r="11" spans="1:6" s="19" customFormat="1" x14ac:dyDescent="0.2">
      <c r="A11" s="70" t="s">
        <v>38</v>
      </c>
      <c r="B11" s="68">
        <v>3000</v>
      </c>
      <c r="C11" s="68">
        <v>3000</v>
      </c>
      <c r="D11" s="69"/>
      <c r="E11" s="168"/>
    </row>
    <row r="12" spans="1:6" s="19" customFormat="1" x14ac:dyDescent="0.2">
      <c r="A12" s="25" t="s">
        <v>53</v>
      </c>
      <c r="B12" s="30">
        <v>1000</v>
      </c>
      <c r="C12" s="30">
        <v>1000</v>
      </c>
      <c r="D12" s="36"/>
      <c r="E12" s="168"/>
    </row>
    <row r="13" spans="1:6" s="19" customFormat="1" x14ac:dyDescent="0.2">
      <c r="A13" s="25" t="s">
        <v>39</v>
      </c>
      <c r="B13" s="30">
        <v>1000</v>
      </c>
      <c r="C13" s="30">
        <v>1000</v>
      </c>
      <c r="D13" s="36"/>
      <c r="E13" s="168"/>
      <c r="F13" s="169"/>
    </row>
    <row r="14" spans="1:6" s="19" customFormat="1" x14ac:dyDescent="0.2">
      <c r="A14" s="37" t="s">
        <v>34</v>
      </c>
      <c r="B14" s="30">
        <v>1000</v>
      </c>
      <c r="C14" s="30">
        <v>1000</v>
      </c>
      <c r="D14" s="36"/>
      <c r="E14" s="168"/>
    </row>
    <row r="15" spans="1:6" s="19" customFormat="1" x14ac:dyDescent="0.2">
      <c r="A15" s="25" t="s">
        <v>52</v>
      </c>
      <c r="B15" s="11">
        <v>250</v>
      </c>
      <c r="C15" s="11">
        <v>250</v>
      </c>
      <c r="D15" s="36"/>
      <c r="E15" s="168"/>
    </row>
    <row r="16" spans="1:6" s="19" customFormat="1" ht="12" customHeight="1" x14ac:dyDescent="0.2">
      <c r="A16" s="25" t="s">
        <v>7</v>
      </c>
      <c r="B16" s="30">
        <v>3000</v>
      </c>
      <c r="C16" s="30">
        <v>3000</v>
      </c>
      <c r="D16" s="36"/>
      <c r="E16" s="168"/>
    </row>
    <row r="17" spans="1:6" s="19" customFormat="1" x14ac:dyDescent="0.2">
      <c r="A17" s="25" t="s">
        <v>8</v>
      </c>
      <c r="B17" s="30">
        <v>5000</v>
      </c>
      <c r="C17" s="30">
        <v>5000</v>
      </c>
      <c r="D17" s="36"/>
      <c r="E17" s="168"/>
    </row>
    <row r="18" spans="1:6" x14ac:dyDescent="0.2">
      <c r="A18" s="25" t="s">
        <v>35</v>
      </c>
      <c r="B18" s="30">
        <v>3000</v>
      </c>
      <c r="C18" s="30">
        <v>3000</v>
      </c>
      <c r="D18" s="36"/>
      <c r="E18" s="153"/>
    </row>
    <row r="19" spans="1:6" x14ac:dyDescent="0.2">
      <c r="A19" s="37" t="s">
        <v>49</v>
      </c>
      <c r="B19" s="30">
        <v>1000</v>
      </c>
      <c r="C19" s="30">
        <v>1000</v>
      </c>
      <c r="D19" s="36"/>
      <c r="E19" s="153"/>
    </row>
    <row r="20" spans="1:6" x14ac:dyDescent="0.2">
      <c r="A20" s="72" t="s">
        <v>104</v>
      </c>
      <c r="B20" s="30">
        <v>1000</v>
      </c>
      <c r="C20" s="34">
        <v>1000</v>
      </c>
      <c r="D20" s="12"/>
      <c r="E20" s="153"/>
    </row>
    <row r="21" spans="1:6" s="138" customFormat="1" x14ac:dyDescent="0.2">
      <c r="A21" s="72" t="s">
        <v>99</v>
      </c>
      <c r="B21" s="141"/>
      <c r="C21" s="142">
        <v>250</v>
      </c>
      <c r="D21" s="12"/>
      <c r="E21" s="153"/>
    </row>
    <row r="22" spans="1:6" s="138" customFormat="1" x14ac:dyDescent="0.2">
      <c r="A22" s="72" t="s">
        <v>101</v>
      </c>
      <c r="B22" s="141"/>
      <c r="C22" s="142">
        <v>250</v>
      </c>
      <c r="D22" s="12"/>
      <c r="E22" s="153"/>
    </row>
    <row r="23" spans="1:6" x14ac:dyDescent="0.2">
      <c r="A23" s="164" t="s">
        <v>111</v>
      </c>
      <c r="B23" s="11"/>
      <c r="C23" s="11">
        <v>250</v>
      </c>
      <c r="D23" s="36"/>
      <c r="E23" s="153"/>
    </row>
    <row r="24" spans="1:6" s="152" customFormat="1" x14ac:dyDescent="0.2">
      <c r="A24" s="164" t="s">
        <v>112</v>
      </c>
      <c r="B24" s="153"/>
      <c r="C24" s="153">
        <v>0</v>
      </c>
      <c r="D24" s="36"/>
      <c r="E24" s="153"/>
    </row>
    <row r="25" spans="1:6" s="152" customFormat="1" x14ac:dyDescent="0.2">
      <c r="A25" s="164" t="s">
        <v>125</v>
      </c>
      <c r="B25" s="153"/>
      <c r="C25" s="153">
        <v>25</v>
      </c>
      <c r="D25" s="36"/>
      <c r="E25" s="153"/>
    </row>
    <row r="26" spans="1:6" s="152" customFormat="1" x14ac:dyDescent="0.2">
      <c r="A26" s="164" t="s">
        <v>157</v>
      </c>
      <c r="B26" s="153"/>
      <c r="C26" s="153">
        <v>500</v>
      </c>
      <c r="D26" s="36"/>
      <c r="E26" s="153"/>
    </row>
    <row r="27" spans="1:6" s="152" customFormat="1" x14ac:dyDescent="0.2">
      <c r="A27" s="172" t="s">
        <v>172</v>
      </c>
      <c r="B27" s="153"/>
      <c r="C27" s="153">
        <v>25</v>
      </c>
      <c r="D27" s="36"/>
      <c r="E27" s="153"/>
    </row>
    <row r="28" spans="1:6" s="152" customFormat="1" x14ac:dyDescent="0.2">
      <c r="A28" s="15" t="s">
        <v>171</v>
      </c>
      <c r="B28" s="153"/>
      <c r="C28" s="153">
        <v>500</v>
      </c>
      <c r="D28" s="36"/>
      <c r="E28" s="153"/>
    </row>
    <row r="29" spans="1:6" s="152" customFormat="1" ht="15" x14ac:dyDescent="0.25">
      <c r="A29" s="118" t="s">
        <v>184</v>
      </c>
      <c r="B29" s="153"/>
      <c r="C29" s="153">
        <v>500</v>
      </c>
      <c r="D29" s="36"/>
      <c r="E29" s="153"/>
    </row>
    <row r="30" spans="1:6" x14ac:dyDescent="0.2">
      <c r="A30" s="26" t="s">
        <v>30</v>
      </c>
      <c r="B30" s="28">
        <f>SUM(B4:B23)</f>
        <v>34250</v>
      </c>
      <c r="C30" s="43">
        <f>SUM(C3:C29)</f>
        <v>79576.67</v>
      </c>
      <c r="D30" s="20"/>
      <c r="E30" s="153"/>
      <c r="F30" s="152"/>
    </row>
    <row r="31" spans="1:6" x14ac:dyDescent="0.2">
      <c r="A31" s="25"/>
      <c r="B31" s="29"/>
      <c r="C31" s="11"/>
      <c r="D31" s="20"/>
      <c r="E31" s="153"/>
    </row>
    <row r="32" spans="1:6" x14ac:dyDescent="0.2">
      <c r="A32" s="42" t="s">
        <v>20</v>
      </c>
      <c r="B32" s="162">
        <v>2011</v>
      </c>
      <c r="C32" s="163">
        <v>2012</v>
      </c>
      <c r="D32" s="20"/>
      <c r="E32" s="153"/>
    </row>
    <row r="33" spans="1:8" x14ac:dyDescent="0.2">
      <c r="A33" s="145" t="s">
        <v>105</v>
      </c>
      <c r="B33" s="146">
        <v>0</v>
      </c>
      <c r="C33" s="11"/>
      <c r="D33" s="20"/>
      <c r="E33" s="153"/>
    </row>
    <row r="34" spans="1:8" x14ac:dyDescent="0.2">
      <c r="A34" s="25" t="s">
        <v>42</v>
      </c>
      <c r="B34" s="144">
        <v>14906.75</v>
      </c>
      <c r="C34" s="153">
        <f>Facilitator!$K$19</f>
        <v>8923.5</v>
      </c>
      <c r="D34" s="20"/>
      <c r="E34" s="153"/>
    </row>
    <row r="35" spans="1:8" x14ac:dyDescent="0.2">
      <c r="A35" s="25" t="s">
        <v>50</v>
      </c>
      <c r="B35" s="147">
        <v>0</v>
      </c>
      <c r="C35" s="11">
        <f>+'Webb Site Development &amp; Maint.'!D16</f>
        <v>506.70000000000005</v>
      </c>
      <c r="D35" s="20"/>
      <c r="E35" s="153"/>
    </row>
    <row r="36" spans="1:8" x14ac:dyDescent="0.2">
      <c r="A36" s="27" t="s">
        <v>26</v>
      </c>
      <c r="B36" s="148">
        <v>0</v>
      </c>
      <c r="C36" s="11">
        <f>+Balance!D42+Balance!D51</f>
        <v>132.69999999999999</v>
      </c>
      <c r="D36" s="20"/>
      <c r="E36" s="153"/>
    </row>
    <row r="37" spans="1:8" x14ac:dyDescent="0.2">
      <c r="A37" s="25" t="s">
        <v>25</v>
      </c>
      <c r="B37" s="149">
        <v>552.25</v>
      </c>
      <c r="C37" s="11">
        <v>0</v>
      </c>
      <c r="D37" s="20"/>
      <c r="E37" s="153"/>
    </row>
    <row r="38" spans="1:8" x14ac:dyDescent="0.2">
      <c r="A38" s="25" t="s">
        <v>21</v>
      </c>
      <c r="B38" s="29"/>
      <c r="C38" s="11"/>
      <c r="D38" s="20"/>
      <c r="E38" s="153"/>
    </row>
    <row r="39" spans="1:8" x14ac:dyDescent="0.2">
      <c r="A39" s="145" t="s">
        <v>106</v>
      </c>
      <c r="B39" s="151">
        <v>6865.3</v>
      </c>
      <c r="C39" s="139">
        <f>+Balance!D27-6.82-95.5</f>
        <v>484.32999999999993</v>
      </c>
      <c r="D39" s="20"/>
      <c r="E39" s="153"/>
    </row>
    <row r="40" spans="1:8" x14ac:dyDescent="0.2">
      <c r="A40" s="25" t="s">
        <v>92</v>
      </c>
      <c r="B40" s="156">
        <v>850</v>
      </c>
      <c r="C40" s="11">
        <v>850</v>
      </c>
      <c r="D40" s="20"/>
      <c r="E40" s="153"/>
    </row>
    <row r="41" spans="1:8" s="138" customFormat="1" x14ac:dyDescent="0.2">
      <c r="A41" s="143" t="s">
        <v>103</v>
      </c>
      <c r="B41" s="150">
        <v>1989.25</v>
      </c>
      <c r="C41" s="139">
        <v>0</v>
      </c>
      <c r="D41" s="140"/>
      <c r="E41" s="153"/>
    </row>
    <row r="42" spans="1:8" s="152" customFormat="1" x14ac:dyDescent="0.2">
      <c r="A42" s="155" t="s">
        <v>108</v>
      </c>
      <c r="B42" s="153">
        <v>812.06</v>
      </c>
      <c r="C42" s="153">
        <f>6.82+95.5+303.38+Balance!D43+Balance!D44</f>
        <v>513.47</v>
      </c>
      <c r="D42" s="154"/>
      <c r="E42" s="153"/>
    </row>
    <row r="43" spans="1:8" x14ac:dyDescent="0.2">
      <c r="A43" s="155" t="s">
        <v>107</v>
      </c>
      <c r="B43" s="29">
        <v>0</v>
      </c>
      <c r="C43" s="11"/>
      <c r="D43" s="20"/>
      <c r="E43" s="153"/>
    </row>
    <row r="44" spans="1:8" s="152" customFormat="1" x14ac:dyDescent="0.2">
      <c r="A44" s="155" t="s">
        <v>109</v>
      </c>
      <c r="B44" s="153">
        <v>0</v>
      </c>
      <c r="C44" s="153"/>
      <c r="D44" s="154"/>
      <c r="E44" s="153"/>
    </row>
    <row r="45" spans="1:8" x14ac:dyDescent="0.2">
      <c r="A45" s="39" t="s">
        <v>47</v>
      </c>
      <c r="B45" s="157">
        <f>SUM(B33:B44)</f>
        <v>25975.61</v>
      </c>
      <c r="C45" s="44">
        <f>SUM(C33:C44)</f>
        <v>11410.7</v>
      </c>
      <c r="D45" s="20"/>
      <c r="E45" s="153"/>
      <c r="H45" s="7"/>
    </row>
    <row r="46" spans="1:8" ht="13.5" thickBot="1" x14ac:dyDescent="0.25">
      <c r="A46" s="40" t="s">
        <v>46</v>
      </c>
      <c r="B46" s="29"/>
      <c r="C46" s="45">
        <f>+C30-C45</f>
        <v>68165.97</v>
      </c>
      <c r="D46" s="20"/>
      <c r="E46" s="153"/>
    </row>
    <row r="47" spans="1:8" ht="14.25" thickTop="1" thickBot="1" x14ac:dyDescent="0.25">
      <c r="A47" s="41" t="s">
        <v>43</v>
      </c>
      <c r="B47" s="29"/>
      <c r="C47" s="33">
        <f>+Balance!E53</f>
        <v>68165.969999999987</v>
      </c>
      <c r="D47" s="20"/>
      <c r="E47" s="153"/>
    </row>
    <row r="48" spans="1:8" ht="13.5" thickTop="1" x14ac:dyDescent="0.2">
      <c r="B48" s="34"/>
      <c r="C48" s="31"/>
    </row>
    <row r="49" spans="2:3" x14ac:dyDescent="0.2">
      <c r="B49" s="34"/>
      <c r="C49" s="7"/>
    </row>
    <row r="50" spans="2:3" x14ac:dyDescent="0.2">
      <c r="B50" s="34"/>
      <c r="C50" s="7"/>
    </row>
    <row r="51" spans="2:3" x14ac:dyDescent="0.2">
      <c r="B51" s="34"/>
      <c r="C51" s="7"/>
    </row>
    <row r="52" spans="2:3" x14ac:dyDescent="0.2">
      <c r="B52" s="34"/>
      <c r="C52" s="7"/>
    </row>
    <row r="53" spans="2:3" x14ac:dyDescent="0.2">
      <c r="B53" s="34"/>
      <c r="C53" s="7"/>
    </row>
    <row r="54" spans="2:3" x14ac:dyDescent="0.2">
      <c r="B54" s="34"/>
      <c r="C54" s="7"/>
    </row>
    <row r="55" spans="2:3" x14ac:dyDescent="0.2">
      <c r="B55" s="34"/>
      <c r="C55" s="7"/>
    </row>
    <row r="56" spans="2:3" x14ac:dyDescent="0.2">
      <c r="B56" s="34"/>
      <c r="C56" s="7"/>
    </row>
    <row r="57" spans="2:3" x14ac:dyDescent="0.2">
      <c r="B57" s="34"/>
      <c r="C57" s="7"/>
    </row>
    <row r="58" spans="2:3" x14ac:dyDescent="0.2">
      <c r="B58" s="34"/>
      <c r="C58" s="7"/>
    </row>
    <row r="59" spans="2:3" x14ac:dyDescent="0.2">
      <c r="B59" s="34"/>
      <c r="C59" s="7"/>
    </row>
    <row r="60" spans="2:3" x14ac:dyDescent="0.2">
      <c r="B60" s="34"/>
      <c r="C60" s="7"/>
    </row>
    <row r="61" spans="2:3" x14ac:dyDescent="0.2">
      <c r="B61" s="34"/>
      <c r="C61" s="7"/>
    </row>
    <row r="62" spans="2:3" x14ac:dyDescent="0.2">
      <c r="B62" s="34"/>
      <c r="C62" s="7"/>
    </row>
    <row r="63" spans="2:3" x14ac:dyDescent="0.2">
      <c r="B63" s="34"/>
      <c r="C63" s="7"/>
    </row>
    <row r="64" spans="2:3" x14ac:dyDescent="0.2">
      <c r="B64" s="34"/>
      <c r="C64" s="7"/>
    </row>
    <row r="65" spans="2:3" x14ac:dyDescent="0.2">
      <c r="B65" s="34"/>
      <c r="C65" s="7"/>
    </row>
    <row r="66" spans="2:3" x14ac:dyDescent="0.2">
      <c r="B66" s="34"/>
      <c r="C66" s="7"/>
    </row>
    <row r="67" spans="2:3" x14ac:dyDescent="0.2">
      <c r="B67" s="34"/>
      <c r="C67" s="7"/>
    </row>
    <row r="68" spans="2:3" x14ac:dyDescent="0.2">
      <c r="B68" s="34"/>
      <c r="C68" s="7"/>
    </row>
    <row r="69" spans="2:3" x14ac:dyDescent="0.2">
      <c r="B69" s="34"/>
      <c r="C69" s="7"/>
    </row>
    <row r="70" spans="2:3" x14ac:dyDescent="0.2">
      <c r="B70" s="34"/>
      <c r="C70" s="7"/>
    </row>
    <row r="71" spans="2:3" x14ac:dyDescent="0.2">
      <c r="B71" s="34"/>
      <c r="C71" s="7"/>
    </row>
    <row r="72" spans="2:3" x14ac:dyDescent="0.2">
      <c r="B72" s="34"/>
      <c r="C72" s="7"/>
    </row>
    <row r="73" spans="2:3" x14ac:dyDescent="0.2">
      <c r="B73" s="34"/>
      <c r="C73" s="7"/>
    </row>
    <row r="74" spans="2:3" x14ac:dyDescent="0.2">
      <c r="B74" s="34"/>
      <c r="C74" s="7"/>
    </row>
    <row r="75" spans="2:3" x14ac:dyDescent="0.2">
      <c r="B75" s="34"/>
      <c r="C75" s="7"/>
    </row>
    <row r="76" spans="2:3" x14ac:dyDescent="0.2">
      <c r="B76" s="34"/>
      <c r="C76" s="7"/>
    </row>
    <row r="77" spans="2:3" x14ac:dyDescent="0.2">
      <c r="B77" s="34"/>
      <c r="C77" s="7"/>
    </row>
    <row r="78" spans="2:3" x14ac:dyDescent="0.2">
      <c r="B78" s="34"/>
      <c r="C78" s="7"/>
    </row>
    <row r="79" spans="2:3" x14ac:dyDescent="0.2">
      <c r="B79" s="34"/>
      <c r="C79" s="7"/>
    </row>
    <row r="80" spans="2:3" x14ac:dyDescent="0.2">
      <c r="B80" s="34"/>
      <c r="C80" s="7"/>
    </row>
    <row r="81" spans="2:3" x14ac:dyDescent="0.2">
      <c r="B81" s="34"/>
      <c r="C81" s="7"/>
    </row>
    <row r="82" spans="2:3" x14ac:dyDescent="0.2">
      <c r="B82" s="34"/>
      <c r="C82" s="7"/>
    </row>
    <row r="83" spans="2:3" x14ac:dyDescent="0.2">
      <c r="B83" s="34"/>
      <c r="C83" s="7"/>
    </row>
    <row r="84" spans="2:3" x14ac:dyDescent="0.2">
      <c r="B84" s="34"/>
      <c r="C84" s="7"/>
    </row>
    <row r="85" spans="2:3" x14ac:dyDescent="0.2">
      <c r="B85" s="34"/>
      <c r="C85" s="7"/>
    </row>
    <row r="86" spans="2:3" x14ac:dyDescent="0.2">
      <c r="B86" s="34"/>
      <c r="C86" s="7"/>
    </row>
    <row r="87" spans="2:3" x14ac:dyDescent="0.2">
      <c r="B87" s="34"/>
      <c r="C87" s="7"/>
    </row>
    <row r="88" spans="2:3" x14ac:dyDescent="0.2">
      <c r="B88" s="34"/>
      <c r="C88" s="7"/>
    </row>
    <row r="89" spans="2:3" x14ac:dyDescent="0.2">
      <c r="B89" s="34"/>
      <c r="C89" s="7"/>
    </row>
    <row r="90" spans="2:3" x14ac:dyDescent="0.2">
      <c r="B90" s="34"/>
      <c r="C90" s="7"/>
    </row>
    <row r="91" spans="2:3" x14ac:dyDescent="0.2">
      <c r="B91" s="34"/>
      <c r="C91" s="7"/>
    </row>
    <row r="92" spans="2:3" x14ac:dyDescent="0.2">
      <c r="B92" s="34"/>
      <c r="C92" s="7"/>
    </row>
    <row r="93" spans="2:3" x14ac:dyDescent="0.2">
      <c r="B93" s="34"/>
      <c r="C93" s="7"/>
    </row>
    <row r="94" spans="2:3" x14ac:dyDescent="0.2">
      <c r="B94" s="34"/>
      <c r="C94" s="7"/>
    </row>
    <row r="95" spans="2:3" x14ac:dyDescent="0.2">
      <c r="B95" s="34"/>
      <c r="C95" s="7"/>
    </row>
    <row r="96" spans="2:3" x14ac:dyDescent="0.2">
      <c r="B96" s="34"/>
      <c r="C96" s="7"/>
    </row>
    <row r="97" spans="2:3" x14ac:dyDescent="0.2">
      <c r="B97" s="34"/>
      <c r="C97" s="7"/>
    </row>
    <row r="98" spans="2:3" x14ac:dyDescent="0.2">
      <c r="B98" s="34"/>
      <c r="C98" s="7"/>
    </row>
    <row r="99" spans="2:3" x14ac:dyDescent="0.2">
      <c r="B99" s="34"/>
      <c r="C99" s="7"/>
    </row>
  </sheetData>
  <sortState ref="A4:D20">
    <sortCondition ref="A4:A20"/>
  </sortState>
  <mergeCells count="1">
    <mergeCell ref="B1:C1"/>
  </mergeCells>
  <phoneticPr fontId="6" type="noConversion"/>
  <pageMargins left="0.34" right="0.26" top="0.91249999999999998" bottom="1" header="0.23749999999999999" footer="0.5"/>
  <pageSetup orientation="portrait" r:id="rId1"/>
  <headerFooter alignWithMargins="0">
    <oddHeader>&amp;CUS Hwy 169 Corridor Coalition 
Budget vs. Actual
Through 08-31-2012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18"/>
  <sheetViews>
    <sheetView view="pageLayout" zoomScaleNormal="100" workbookViewId="0">
      <selection activeCell="D10" sqref="D10"/>
    </sheetView>
  </sheetViews>
  <sheetFormatPr defaultRowHeight="12.75" x14ac:dyDescent="0.2"/>
  <cols>
    <col min="1" max="1" width="10.140625" style="52" bestFit="1" customWidth="1"/>
    <col min="2" max="2" width="26" bestFit="1" customWidth="1"/>
    <col min="3" max="3" width="6.42578125" customWidth="1"/>
    <col min="4" max="4" width="12.7109375" style="7" bestFit="1" customWidth="1"/>
  </cols>
  <sheetData>
    <row r="1" spans="1:4" x14ac:dyDescent="0.2">
      <c r="A1" s="53"/>
      <c r="B1" s="24"/>
      <c r="C1" s="24"/>
      <c r="D1" s="34"/>
    </row>
    <row r="2" spans="1:4" x14ac:dyDescent="0.2">
      <c r="A2" s="54" t="s">
        <v>54</v>
      </c>
      <c r="B2" s="55" t="s">
        <v>139</v>
      </c>
      <c r="C2" s="55"/>
      <c r="D2" s="56">
        <v>13319.72</v>
      </c>
    </row>
    <row r="3" spans="1:4" x14ac:dyDescent="0.2">
      <c r="A3" s="135">
        <v>41029</v>
      </c>
      <c r="B3" s="20" t="s">
        <v>156</v>
      </c>
      <c r="D3" s="7">
        <v>386.85</v>
      </c>
    </row>
    <row r="4" spans="1:4" x14ac:dyDescent="0.2">
      <c r="A4" s="6">
        <v>41121</v>
      </c>
      <c r="B4" s="1" t="s">
        <v>156</v>
      </c>
      <c r="C4" s="1"/>
      <c r="D4" s="7">
        <v>119.85</v>
      </c>
    </row>
    <row r="5" spans="1:4" x14ac:dyDescent="0.2">
      <c r="A5" s="6"/>
      <c r="B5" s="1"/>
      <c r="C5" s="1"/>
    </row>
    <row r="6" spans="1:4" x14ac:dyDescent="0.2">
      <c r="B6" s="66"/>
    </row>
    <row r="7" spans="1:4" x14ac:dyDescent="0.2">
      <c r="B7" s="1"/>
    </row>
    <row r="8" spans="1:4" x14ac:dyDescent="0.2">
      <c r="B8" s="1"/>
    </row>
    <row r="9" spans="1:4" x14ac:dyDescent="0.2">
      <c r="B9" s="1"/>
    </row>
    <row r="10" spans="1:4" x14ac:dyDescent="0.2">
      <c r="B10" s="1"/>
    </row>
    <row r="11" spans="1:4" x14ac:dyDescent="0.2">
      <c r="B11" s="1"/>
    </row>
    <row r="12" spans="1:4" x14ac:dyDescent="0.2">
      <c r="B12" s="1"/>
    </row>
    <row r="16" spans="1:4" x14ac:dyDescent="0.2">
      <c r="B16" s="57" t="s">
        <v>22</v>
      </c>
      <c r="C16" s="58"/>
      <c r="D16" s="62">
        <f>SUM(D3:D13)</f>
        <v>506.70000000000005</v>
      </c>
    </row>
    <row r="17" spans="2:4" x14ac:dyDescent="0.2">
      <c r="B17" s="59" t="s">
        <v>147</v>
      </c>
      <c r="C17" s="24"/>
      <c r="D17" s="62">
        <v>13319.72</v>
      </c>
    </row>
    <row r="18" spans="2:4" x14ac:dyDescent="0.2">
      <c r="B18" s="60" t="s">
        <v>55</v>
      </c>
      <c r="C18" s="61"/>
      <c r="D18" s="62">
        <f>SUM(D16:D17)</f>
        <v>13826.42</v>
      </c>
    </row>
  </sheetData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1:Q45"/>
  <sheetViews>
    <sheetView topLeftCell="A43" zoomScaleNormal="100" workbookViewId="0">
      <selection activeCell="U31" sqref="U31"/>
    </sheetView>
  </sheetViews>
  <sheetFormatPr defaultRowHeight="15" x14ac:dyDescent="0.25"/>
  <cols>
    <col min="1" max="1" width="1.28515625" style="79" customWidth="1"/>
    <col min="2" max="2" width="28.28515625" style="131" bestFit="1" customWidth="1"/>
    <col min="3" max="3" width="20.85546875" style="131" customWidth="1"/>
    <col min="4" max="5" width="10.7109375" style="132" hidden="1" customWidth="1"/>
    <col min="6" max="6" width="9.28515625" style="133" hidden="1" customWidth="1"/>
    <col min="7" max="7" width="13.42578125" style="131" hidden="1" customWidth="1"/>
    <col min="8" max="8" width="11.140625" style="131" hidden="1" customWidth="1"/>
    <col min="9" max="9" width="14.42578125" style="79" hidden="1" customWidth="1"/>
    <col min="10" max="10" width="8.85546875" style="79" hidden="1" customWidth="1"/>
    <col min="11" max="11" width="10.28515625" style="132" hidden="1" customWidth="1"/>
    <col min="12" max="12" width="13.28515625" style="131" hidden="1" customWidth="1"/>
    <col min="13" max="13" width="11.5703125" style="131" hidden="1" customWidth="1"/>
    <col min="14" max="14" width="14.42578125" style="134" hidden="1" customWidth="1"/>
    <col min="15" max="15" width="13.28515625" style="131" hidden="1" customWidth="1"/>
    <col min="16" max="16" width="11.5703125" style="131" bestFit="1" customWidth="1"/>
    <col min="17" max="17" width="14.42578125" style="134" bestFit="1" customWidth="1"/>
    <col min="18" max="16384" width="9.140625" style="79"/>
  </cols>
  <sheetData>
    <row r="1" spans="2:17" ht="30" customHeight="1" x14ac:dyDescent="0.25">
      <c r="B1" s="177" t="s">
        <v>56</v>
      </c>
      <c r="C1" s="178"/>
      <c r="D1" s="178"/>
      <c r="E1" s="178"/>
      <c r="F1" s="178"/>
      <c r="G1" s="178"/>
      <c r="H1" s="179"/>
      <c r="I1" s="74">
        <v>2009</v>
      </c>
      <c r="J1" s="75"/>
      <c r="K1" s="76"/>
      <c r="L1" s="76"/>
      <c r="M1" s="77">
        <v>2011</v>
      </c>
      <c r="N1" s="78">
        <v>2011</v>
      </c>
      <c r="O1" s="76"/>
      <c r="P1" s="77">
        <v>2012</v>
      </c>
      <c r="Q1" s="78">
        <v>2012</v>
      </c>
    </row>
    <row r="2" spans="2:17" ht="45" x14ac:dyDescent="0.25">
      <c r="B2" s="80" t="s">
        <v>57</v>
      </c>
      <c r="C2" s="81" t="s">
        <v>58</v>
      </c>
      <c r="D2" s="82" t="s">
        <v>59</v>
      </c>
      <c r="E2" s="82" t="s">
        <v>60</v>
      </c>
      <c r="F2" s="82" t="s">
        <v>61</v>
      </c>
      <c r="G2" s="83" t="s">
        <v>62</v>
      </c>
      <c r="H2" s="84" t="s">
        <v>63</v>
      </c>
      <c r="I2" s="85" t="s">
        <v>64</v>
      </c>
      <c r="J2" s="86"/>
      <c r="K2" s="82" t="s">
        <v>60</v>
      </c>
      <c r="L2" s="87" t="s">
        <v>62</v>
      </c>
      <c r="M2" s="84" t="s">
        <v>63</v>
      </c>
      <c r="N2" s="88" t="s">
        <v>64</v>
      </c>
      <c r="O2" s="87" t="s">
        <v>62</v>
      </c>
      <c r="P2" s="84" t="s">
        <v>63</v>
      </c>
      <c r="Q2" s="88" t="s">
        <v>64</v>
      </c>
    </row>
    <row r="3" spans="2:17" x14ac:dyDescent="0.25">
      <c r="B3" s="89"/>
      <c r="C3" s="90"/>
      <c r="D3" s="90"/>
      <c r="E3" s="90"/>
      <c r="F3" s="91"/>
      <c r="G3" s="90"/>
      <c r="H3" s="90"/>
      <c r="I3" s="92"/>
      <c r="J3" s="93"/>
      <c r="K3" s="90"/>
      <c r="L3" s="89"/>
      <c r="M3" s="90"/>
      <c r="N3" s="94"/>
      <c r="O3" s="89"/>
      <c r="P3" s="90"/>
      <c r="Q3" s="94"/>
    </row>
    <row r="4" spans="2:17" x14ac:dyDescent="0.25">
      <c r="B4" s="95" t="s">
        <v>65</v>
      </c>
      <c r="C4" s="96" t="s">
        <v>40</v>
      </c>
      <c r="D4" s="97">
        <v>1000</v>
      </c>
      <c r="E4" s="97">
        <v>1000</v>
      </c>
      <c r="F4" s="98"/>
      <c r="G4" s="99">
        <v>40004</v>
      </c>
      <c r="H4" s="99">
        <v>40018</v>
      </c>
      <c r="I4" s="92">
        <v>1000</v>
      </c>
      <c r="J4" s="93"/>
      <c r="K4" s="100">
        <v>1000</v>
      </c>
      <c r="L4" s="101">
        <v>40522</v>
      </c>
      <c r="M4" s="99">
        <v>40548</v>
      </c>
      <c r="N4" s="94">
        <v>1000</v>
      </c>
      <c r="O4" s="101">
        <v>40897</v>
      </c>
      <c r="P4" s="99">
        <v>40917</v>
      </c>
      <c r="Q4" s="94">
        <v>1000</v>
      </c>
    </row>
    <row r="5" spans="2:17" x14ac:dyDescent="0.25">
      <c r="B5" s="95" t="s">
        <v>66</v>
      </c>
      <c r="C5" s="96" t="s">
        <v>67</v>
      </c>
      <c r="D5" s="97">
        <v>3000</v>
      </c>
      <c r="E5" s="97">
        <v>3000</v>
      </c>
      <c r="F5" s="98" t="s">
        <v>68</v>
      </c>
      <c r="G5" s="99">
        <v>40004</v>
      </c>
      <c r="H5" s="99">
        <v>40031</v>
      </c>
      <c r="I5" s="92">
        <v>3000</v>
      </c>
      <c r="J5" s="93"/>
      <c r="K5" s="100">
        <v>3000</v>
      </c>
      <c r="L5" s="101">
        <v>40522</v>
      </c>
      <c r="M5" s="99">
        <v>40588</v>
      </c>
      <c r="N5" s="94">
        <v>3000</v>
      </c>
      <c r="O5" s="101">
        <v>40897</v>
      </c>
      <c r="P5" s="99">
        <v>40917</v>
      </c>
      <c r="Q5" s="94">
        <v>3000</v>
      </c>
    </row>
    <row r="6" spans="2:17" hidden="1" x14ac:dyDescent="0.25">
      <c r="B6" s="95"/>
      <c r="C6" s="96" t="s">
        <v>69</v>
      </c>
      <c r="D6" s="102">
        <v>3000</v>
      </c>
      <c r="E6" s="102">
        <v>0</v>
      </c>
      <c r="F6" s="103"/>
      <c r="G6" s="96"/>
      <c r="H6" s="96"/>
      <c r="I6" s="92"/>
      <c r="J6" s="93"/>
      <c r="K6" s="102">
        <v>3000</v>
      </c>
      <c r="L6" s="101">
        <v>40522</v>
      </c>
      <c r="M6" s="96"/>
      <c r="N6" s="94"/>
      <c r="O6" s="101">
        <v>40897</v>
      </c>
      <c r="P6" s="96"/>
      <c r="Q6" s="94"/>
    </row>
    <row r="7" spans="2:17" x14ac:dyDescent="0.25">
      <c r="B7" s="95" t="s">
        <v>96</v>
      </c>
      <c r="C7" s="96" t="s">
        <v>31</v>
      </c>
      <c r="D7" s="97">
        <v>3000</v>
      </c>
      <c r="E7" s="97">
        <v>3000</v>
      </c>
      <c r="F7" s="98" t="s">
        <v>68</v>
      </c>
      <c r="G7" s="99">
        <v>40004</v>
      </c>
      <c r="H7" s="99">
        <v>40018</v>
      </c>
      <c r="I7" s="92">
        <v>3000</v>
      </c>
      <c r="J7" s="93"/>
      <c r="K7" s="100">
        <v>3000</v>
      </c>
      <c r="L7" s="101">
        <v>40522</v>
      </c>
      <c r="M7" s="99">
        <v>40553</v>
      </c>
      <c r="N7" s="94">
        <v>3000</v>
      </c>
      <c r="O7" s="101">
        <v>40897</v>
      </c>
      <c r="P7" s="99">
        <v>40940</v>
      </c>
      <c r="Q7" s="94">
        <v>3000</v>
      </c>
    </row>
    <row r="8" spans="2:17" hidden="1" x14ac:dyDescent="0.25">
      <c r="B8" s="95"/>
      <c r="C8" s="96" t="s">
        <v>70</v>
      </c>
      <c r="D8" s="102">
        <v>1000</v>
      </c>
      <c r="E8" s="102">
        <v>0</v>
      </c>
      <c r="F8" s="103"/>
      <c r="G8" s="96"/>
      <c r="H8" s="96"/>
      <c r="I8" s="92"/>
      <c r="J8" s="93"/>
      <c r="K8" s="102">
        <v>1000</v>
      </c>
      <c r="L8" s="101">
        <v>40522</v>
      </c>
      <c r="M8" s="96"/>
      <c r="N8" s="94"/>
      <c r="O8" s="101">
        <v>40897</v>
      </c>
      <c r="P8" s="96"/>
      <c r="Q8" s="94"/>
    </row>
    <row r="9" spans="2:17" hidden="1" x14ac:dyDescent="0.25">
      <c r="B9" s="95"/>
      <c r="C9" s="96" t="s">
        <v>71</v>
      </c>
      <c r="D9" s="102">
        <v>1000</v>
      </c>
      <c r="E9" s="102">
        <v>0</v>
      </c>
      <c r="F9" s="103"/>
      <c r="G9" s="96"/>
      <c r="H9" s="96"/>
      <c r="I9" s="92"/>
      <c r="J9" s="93"/>
      <c r="K9" s="102">
        <v>1000</v>
      </c>
      <c r="L9" s="101">
        <v>40522</v>
      </c>
      <c r="M9" s="96"/>
      <c r="N9" s="94"/>
      <c r="O9" s="101">
        <v>40897</v>
      </c>
      <c r="P9" s="96"/>
      <c r="Q9" s="94"/>
    </row>
    <row r="10" spans="2:17" x14ac:dyDescent="0.25">
      <c r="B10" s="95" t="s">
        <v>72</v>
      </c>
      <c r="C10" s="96" t="s">
        <v>32</v>
      </c>
      <c r="D10" s="97">
        <v>1000</v>
      </c>
      <c r="E10" s="97">
        <v>1000</v>
      </c>
      <c r="F10" s="98" t="s">
        <v>68</v>
      </c>
      <c r="G10" s="99">
        <v>40004</v>
      </c>
      <c r="H10" s="99">
        <v>40016</v>
      </c>
      <c r="I10" s="92">
        <v>1000</v>
      </c>
      <c r="J10" s="93"/>
      <c r="K10" s="100">
        <v>1000</v>
      </c>
      <c r="L10" s="101">
        <v>40522</v>
      </c>
      <c r="M10" s="99">
        <v>40534</v>
      </c>
      <c r="N10" s="94">
        <v>1000</v>
      </c>
      <c r="O10" s="101">
        <v>40897</v>
      </c>
      <c r="P10" s="99">
        <v>40931</v>
      </c>
      <c r="Q10" s="94">
        <v>1000</v>
      </c>
    </row>
    <row r="11" spans="2:17" x14ac:dyDescent="0.25">
      <c r="B11" s="95" t="s">
        <v>73</v>
      </c>
      <c r="C11" s="96" t="s">
        <v>74</v>
      </c>
      <c r="D11" s="97">
        <v>1000</v>
      </c>
      <c r="E11" s="97">
        <v>1000</v>
      </c>
      <c r="F11" s="98" t="s">
        <v>68</v>
      </c>
      <c r="G11" s="99">
        <v>40004</v>
      </c>
      <c r="H11" s="99">
        <v>40023</v>
      </c>
      <c r="I11" s="92">
        <v>1000</v>
      </c>
      <c r="J11" s="93"/>
      <c r="K11" s="100">
        <v>1000</v>
      </c>
      <c r="L11" s="101">
        <v>40522</v>
      </c>
      <c r="M11" s="99">
        <v>40556</v>
      </c>
      <c r="N11" s="94">
        <v>1000</v>
      </c>
      <c r="O11" s="101">
        <v>40897</v>
      </c>
      <c r="P11" s="99">
        <v>40920</v>
      </c>
      <c r="Q11" s="94">
        <v>1000</v>
      </c>
    </row>
    <row r="12" spans="2:17" x14ac:dyDescent="0.25">
      <c r="B12" s="104" t="s">
        <v>75</v>
      </c>
      <c r="C12" s="96" t="s">
        <v>38</v>
      </c>
      <c r="D12" s="97">
        <v>0</v>
      </c>
      <c r="E12" s="97">
        <v>0</v>
      </c>
      <c r="F12" s="105"/>
      <c r="G12" s="99"/>
      <c r="H12" s="96"/>
      <c r="I12" s="92">
        <v>0</v>
      </c>
      <c r="J12" s="93"/>
      <c r="K12" s="100">
        <v>3000</v>
      </c>
      <c r="L12" s="101">
        <v>40522</v>
      </c>
      <c r="M12" s="99">
        <v>40535</v>
      </c>
      <c r="N12" s="106">
        <v>3000</v>
      </c>
      <c r="O12" s="101">
        <v>40897</v>
      </c>
      <c r="P12" s="99">
        <v>40848</v>
      </c>
      <c r="Q12" s="106">
        <v>3000</v>
      </c>
    </row>
    <row r="13" spans="2:17" x14ac:dyDescent="0.25">
      <c r="B13" s="104" t="s">
        <v>76</v>
      </c>
      <c r="C13" s="96" t="s">
        <v>39</v>
      </c>
      <c r="D13" s="97">
        <v>1000</v>
      </c>
      <c r="E13" s="97">
        <v>1000</v>
      </c>
      <c r="F13" s="98" t="s">
        <v>68</v>
      </c>
      <c r="G13" s="99">
        <v>40028</v>
      </c>
      <c r="H13" s="99">
        <v>40045</v>
      </c>
      <c r="I13" s="92">
        <v>1000</v>
      </c>
      <c r="J13" s="93"/>
      <c r="K13" s="107">
        <v>1000</v>
      </c>
      <c r="L13" s="101">
        <v>40522</v>
      </c>
      <c r="M13" s="99">
        <v>40534</v>
      </c>
      <c r="N13" s="94">
        <v>1000</v>
      </c>
      <c r="O13" s="101">
        <v>40897</v>
      </c>
      <c r="P13" s="99">
        <v>40917</v>
      </c>
      <c r="Q13" s="94">
        <v>1000</v>
      </c>
    </row>
    <row r="14" spans="2:17" x14ac:dyDescent="0.25">
      <c r="B14" s="95" t="s">
        <v>77</v>
      </c>
      <c r="C14" s="96" t="s">
        <v>34</v>
      </c>
      <c r="D14" s="97">
        <v>1000</v>
      </c>
      <c r="E14" s="97">
        <v>1000</v>
      </c>
      <c r="F14" s="98" t="s">
        <v>68</v>
      </c>
      <c r="G14" s="99">
        <v>40004</v>
      </c>
      <c r="H14" s="99">
        <v>40023</v>
      </c>
      <c r="I14" s="92">
        <v>1000</v>
      </c>
      <c r="J14" s="93"/>
      <c r="K14" s="107">
        <v>1000</v>
      </c>
      <c r="L14" s="101">
        <v>40522</v>
      </c>
      <c r="M14" s="99">
        <v>40567</v>
      </c>
      <c r="N14" s="94">
        <v>1000</v>
      </c>
      <c r="O14" s="101">
        <v>40897</v>
      </c>
      <c r="P14" s="99">
        <v>40927</v>
      </c>
      <c r="Q14" s="94">
        <v>1000</v>
      </c>
    </row>
    <row r="15" spans="2:17" x14ac:dyDescent="0.25">
      <c r="B15" s="95" t="s">
        <v>78</v>
      </c>
      <c r="C15" s="96" t="s">
        <v>7</v>
      </c>
      <c r="D15" s="97">
        <v>3000</v>
      </c>
      <c r="E15" s="97">
        <v>3000</v>
      </c>
      <c r="F15" s="98" t="s">
        <v>68</v>
      </c>
      <c r="G15" s="99">
        <v>40004</v>
      </c>
      <c r="H15" s="99">
        <v>40030</v>
      </c>
      <c r="I15" s="92">
        <v>3000</v>
      </c>
      <c r="J15" s="93"/>
      <c r="K15" s="107">
        <v>3000</v>
      </c>
      <c r="L15" s="101">
        <v>40522</v>
      </c>
      <c r="M15" s="99">
        <v>40548</v>
      </c>
      <c r="N15" s="94">
        <v>3000</v>
      </c>
      <c r="O15" s="101">
        <v>40897</v>
      </c>
      <c r="P15" s="99">
        <v>40920</v>
      </c>
      <c r="Q15" s="94">
        <v>3000</v>
      </c>
    </row>
    <row r="16" spans="2:17" x14ac:dyDescent="0.25">
      <c r="B16" s="95" t="s">
        <v>79</v>
      </c>
      <c r="C16" s="96" t="s">
        <v>35</v>
      </c>
      <c r="D16" s="97">
        <v>3000</v>
      </c>
      <c r="E16" s="97">
        <v>3000</v>
      </c>
      <c r="F16" s="98" t="s">
        <v>68</v>
      </c>
      <c r="G16" s="99">
        <v>40004</v>
      </c>
      <c r="H16" s="99">
        <v>40035</v>
      </c>
      <c r="I16" s="92">
        <v>3000</v>
      </c>
      <c r="J16" s="93"/>
      <c r="K16" s="107">
        <v>3000</v>
      </c>
      <c r="L16" s="101">
        <v>40522</v>
      </c>
      <c r="M16" s="99">
        <v>40567</v>
      </c>
      <c r="N16" s="94">
        <v>3000</v>
      </c>
      <c r="O16" s="101">
        <v>40897</v>
      </c>
      <c r="P16" s="99">
        <v>40931</v>
      </c>
      <c r="Q16" s="94">
        <v>3000</v>
      </c>
    </row>
    <row r="17" spans="2:17" x14ac:dyDescent="0.25">
      <c r="B17" s="95" t="s">
        <v>80</v>
      </c>
      <c r="C17" s="96" t="s">
        <v>81</v>
      </c>
      <c r="D17" s="97">
        <v>1000</v>
      </c>
      <c r="E17" s="97">
        <v>1000</v>
      </c>
      <c r="F17" s="98" t="s">
        <v>68</v>
      </c>
      <c r="G17" s="99">
        <v>40049</v>
      </c>
      <c r="H17" s="99">
        <v>40074</v>
      </c>
      <c r="I17" s="92">
        <v>1000</v>
      </c>
      <c r="J17" s="93"/>
      <c r="K17" s="107">
        <v>1000</v>
      </c>
      <c r="L17" s="101">
        <v>40522</v>
      </c>
      <c r="M17" s="99">
        <v>40556</v>
      </c>
      <c r="N17" s="94">
        <v>1000</v>
      </c>
      <c r="O17" s="101">
        <v>40897</v>
      </c>
      <c r="P17" s="99">
        <v>40926</v>
      </c>
      <c r="Q17" s="94">
        <v>1000</v>
      </c>
    </row>
    <row r="18" spans="2:17" x14ac:dyDescent="0.25">
      <c r="B18" s="108"/>
      <c r="C18" s="81" t="s">
        <v>82</v>
      </c>
      <c r="D18" s="109"/>
      <c r="E18" s="109"/>
      <c r="F18" s="110"/>
      <c r="G18" s="111"/>
      <c r="H18" s="111"/>
      <c r="I18" s="112"/>
      <c r="J18" s="113"/>
      <c r="K18" s="109"/>
      <c r="L18" s="108"/>
      <c r="M18" s="111"/>
      <c r="N18" s="114"/>
      <c r="O18" s="108"/>
      <c r="P18" s="111"/>
      <c r="Q18" s="114"/>
    </row>
    <row r="19" spans="2:17" x14ac:dyDescent="0.25">
      <c r="B19" s="95"/>
      <c r="C19" s="90"/>
      <c r="D19" s="102"/>
      <c r="E19" s="102"/>
      <c r="F19" s="103"/>
      <c r="G19" s="96"/>
      <c r="H19" s="96"/>
      <c r="I19" s="92"/>
      <c r="J19" s="93"/>
      <c r="K19" s="102"/>
      <c r="L19" s="95"/>
      <c r="M19" s="96"/>
      <c r="N19" s="115"/>
      <c r="O19" s="95"/>
      <c r="P19" s="96"/>
      <c r="Q19" s="115"/>
    </row>
    <row r="20" spans="2:17" x14ac:dyDescent="0.25">
      <c r="B20" s="95" t="s">
        <v>83</v>
      </c>
      <c r="C20" s="96" t="s">
        <v>84</v>
      </c>
      <c r="D20" s="97">
        <v>5000</v>
      </c>
      <c r="E20" s="97">
        <v>5000</v>
      </c>
      <c r="F20" s="98" t="s">
        <v>68</v>
      </c>
      <c r="G20" s="99">
        <v>40004</v>
      </c>
      <c r="H20" s="99">
        <v>40022</v>
      </c>
      <c r="I20" s="92">
        <v>5000</v>
      </c>
      <c r="J20" s="93"/>
      <c r="K20" s="100">
        <v>5000</v>
      </c>
      <c r="L20" s="101">
        <v>40522</v>
      </c>
      <c r="M20" s="99">
        <v>40546</v>
      </c>
      <c r="N20" s="115">
        <v>5000</v>
      </c>
      <c r="O20" s="101">
        <v>40897</v>
      </c>
      <c r="P20" s="99">
        <v>40917</v>
      </c>
      <c r="Q20" s="115">
        <v>5000</v>
      </c>
    </row>
    <row r="21" spans="2:17" x14ac:dyDescent="0.25">
      <c r="B21" s="95" t="s">
        <v>85</v>
      </c>
      <c r="C21" s="96" t="s">
        <v>74</v>
      </c>
      <c r="D21" s="97">
        <v>1000</v>
      </c>
      <c r="E21" s="97">
        <v>1000</v>
      </c>
      <c r="F21" s="98" t="s">
        <v>68</v>
      </c>
      <c r="G21" s="99">
        <v>40004</v>
      </c>
      <c r="H21" s="99">
        <v>40008</v>
      </c>
      <c r="I21" s="92">
        <v>1000</v>
      </c>
      <c r="J21" s="93"/>
      <c r="K21" s="100">
        <v>1000</v>
      </c>
      <c r="L21" s="101">
        <v>40522</v>
      </c>
      <c r="M21" s="99">
        <v>40540</v>
      </c>
      <c r="N21" s="115">
        <v>1000</v>
      </c>
      <c r="O21" s="101">
        <v>40897</v>
      </c>
      <c r="P21" s="99">
        <v>40917</v>
      </c>
      <c r="Q21" s="115">
        <v>1000</v>
      </c>
    </row>
    <row r="22" spans="2:17" x14ac:dyDescent="0.25">
      <c r="B22" s="95" t="s">
        <v>86</v>
      </c>
      <c r="C22" s="96" t="s">
        <v>87</v>
      </c>
      <c r="D22" s="97">
        <v>0</v>
      </c>
      <c r="E22" s="97">
        <v>0</v>
      </c>
      <c r="F22" s="98" t="s">
        <v>68</v>
      </c>
      <c r="G22" s="99"/>
      <c r="H22" s="99"/>
      <c r="I22" s="92"/>
      <c r="J22" s="93"/>
      <c r="K22" s="107">
        <v>1000</v>
      </c>
      <c r="L22" s="101">
        <v>40522</v>
      </c>
      <c r="M22" s="99">
        <v>40546</v>
      </c>
      <c r="N22" s="115">
        <v>1000</v>
      </c>
      <c r="O22" s="101">
        <v>40897</v>
      </c>
      <c r="P22" s="99">
        <v>40935</v>
      </c>
      <c r="Q22" s="115">
        <v>1000</v>
      </c>
    </row>
    <row r="23" spans="2:17" x14ac:dyDescent="0.25">
      <c r="B23" s="95" t="s">
        <v>88</v>
      </c>
      <c r="C23" s="96" t="s">
        <v>89</v>
      </c>
      <c r="D23" s="97">
        <v>10000</v>
      </c>
      <c r="E23" s="97">
        <v>10000</v>
      </c>
      <c r="F23" s="98" t="s">
        <v>68</v>
      </c>
      <c r="G23" s="99">
        <v>40004</v>
      </c>
      <c r="H23" s="99">
        <v>40065</v>
      </c>
      <c r="I23" s="92">
        <v>10000</v>
      </c>
      <c r="J23" s="116"/>
      <c r="K23" s="107">
        <v>5000</v>
      </c>
      <c r="L23" s="101">
        <v>40522</v>
      </c>
      <c r="M23" s="99">
        <v>40553</v>
      </c>
      <c r="N23" s="115">
        <v>5000</v>
      </c>
      <c r="O23" s="101">
        <v>40897</v>
      </c>
      <c r="P23" s="99">
        <v>40939</v>
      </c>
      <c r="Q23" s="115">
        <v>5000</v>
      </c>
    </row>
    <row r="24" spans="2:17" x14ac:dyDescent="0.25">
      <c r="B24" s="108"/>
      <c r="C24" s="81" t="s">
        <v>90</v>
      </c>
      <c r="D24" s="109"/>
      <c r="E24" s="109"/>
      <c r="F24" s="110"/>
      <c r="G24" s="111"/>
      <c r="H24" s="111"/>
      <c r="I24" s="112"/>
      <c r="J24" s="113"/>
      <c r="K24" s="109"/>
      <c r="L24" s="108"/>
      <c r="M24" s="111"/>
      <c r="N24" s="114"/>
      <c r="O24" s="108"/>
      <c r="P24" s="111"/>
      <c r="Q24" s="114"/>
    </row>
    <row r="25" spans="2:17" x14ac:dyDescent="0.25">
      <c r="B25" s="95"/>
      <c r="C25" s="90"/>
      <c r="D25" s="102"/>
      <c r="E25" s="102"/>
      <c r="F25" s="103"/>
      <c r="G25" s="96"/>
      <c r="H25" s="96"/>
      <c r="I25" s="92"/>
      <c r="J25" s="93"/>
      <c r="K25" s="102"/>
      <c r="L25" s="95"/>
      <c r="M25" s="96"/>
      <c r="N25" s="94"/>
      <c r="O25" s="95"/>
      <c r="P25" s="96"/>
      <c r="Q25" s="94"/>
    </row>
    <row r="26" spans="2:17" x14ac:dyDescent="0.25">
      <c r="B26" s="117" t="s">
        <v>91</v>
      </c>
      <c r="C26" s="118" t="s">
        <v>90</v>
      </c>
      <c r="D26" s="119">
        <v>250</v>
      </c>
      <c r="E26" s="119">
        <v>250</v>
      </c>
      <c r="F26" s="120" t="s">
        <v>68</v>
      </c>
      <c r="G26" s="121">
        <v>40004</v>
      </c>
      <c r="H26" s="121">
        <v>40168</v>
      </c>
      <c r="I26" s="122">
        <v>250</v>
      </c>
      <c r="J26" s="123"/>
      <c r="K26" s="124">
        <v>250</v>
      </c>
      <c r="L26" s="101">
        <v>40522</v>
      </c>
      <c r="M26" s="99">
        <v>40539</v>
      </c>
      <c r="N26" s="106">
        <v>250</v>
      </c>
      <c r="O26" s="101">
        <v>40897</v>
      </c>
      <c r="P26" s="99">
        <v>40904</v>
      </c>
      <c r="Q26" s="106">
        <v>250</v>
      </c>
    </row>
    <row r="27" spans="2:17" x14ac:dyDescent="0.25">
      <c r="B27" s="108"/>
      <c r="C27" s="81" t="s">
        <v>97</v>
      </c>
      <c r="D27" s="109"/>
      <c r="E27" s="109"/>
      <c r="F27" s="110"/>
      <c r="G27" s="111"/>
      <c r="H27" s="111"/>
      <c r="I27" s="112"/>
      <c r="J27" s="113"/>
      <c r="K27" s="109"/>
      <c r="L27" s="108"/>
      <c r="M27" s="111"/>
      <c r="N27" s="158"/>
      <c r="O27" s="108"/>
      <c r="P27" s="111"/>
      <c r="Q27" s="158"/>
    </row>
    <row r="28" spans="2:17" x14ac:dyDescent="0.25">
      <c r="B28" s="95"/>
      <c r="C28" s="90"/>
      <c r="D28" s="102"/>
      <c r="E28" s="102"/>
      <c r="F28" s="103"/>
      <c r="G28" s="96"/>
      <c r="H28" s="96"/>
      <c r="I28" s="92"/>
      <c r="J28" s="93"/>
      <c r="K28" s="102"/>
      <c r="L28" s="95"/>
      <c r="M28" s="96"/>
      <c r="N28" s="159"/>
      <c r="O28" s="95"/>
      <c r="P28" s="96"/>
      <c r="Q28" s="159"/>
    </row>
    <row r="29" spans="2:17" x14ac:dyDescent="0.25">
      <c r="B29" s="117" t="s">
        <v>98</v>
      </c>
      <c r="C29" s="118" t="s">
        <v>99</v>
      </c>
      <c r="D29" s="119">
        <v>250</v>
      </c>
      <c r="E29" s="119">
        <v>250</v>
      </c>
      <c r="F29" s="120" t="s">
        <v>68</v>
      </c>
      <c r="G29" s="121"/>
      <c r="H29" s="121"/>
      <c r="I29" s="122">
        <v>250</v>
      </c>
      <c r="J29" s="123"/>
      <c r="K29" s="124">
        <v>250</v>
      </c>
      <c r="L29" s="101">
        <v>40618</v>
      </c>
      <c r="M29" s="101">
        <v>40618</v>
      </c>
      <c r="N29" s="160">
        <v>250</v>
      </c>
      <c r="O29" s="101">
        <v>40897</v>
      </c>
      <c r="P29" s="101">
        <v>40920</v>
      </c>
      <c r="Q29" s="160">
        <v>250</v>
      </c>
    </row>
    <row r="30" spans="2:17" x14ac:dyDescent="0.25">
      <c r="B30" s="117" t="s">
        <v>100</v>
      </c>
      <c r="C30" s="118" t="s">
        <v>101</v>
      </c>
      <c r="D30" s="119">
        <v>250</v>
      </c>
      <c r="E30" s="119">
        <v>250</v>
      </c>
      <c r="F30" s="120" t="s">
        <v>68</v>
      </c>
      <c r="G30" s="121"/>
      <c r="H30" s="121"/>
      <c r="I30" s="122">
        <v>250</v>
      </c>
      <c r="J30" s="123"/>
      <c r="K30" s="124">
        <v>250</v>
      </c>
      <c r="L30" s="101">
        <v>40618</v>
      </c>
      <c r="M30" s="101">
        <v>40618</v>
      </c>
      <c r="N30" s="160">
        <v>250</v>
      </c>
      <c r="O30" s="101">
        <v>40897</v>
      </c>
      <c r="P30" s="101">
        <v>40926</v>
      </c>
      <c r="Q30" s="160">
        <v>250</v>
      </c>
    </row>
    <row r="31" spans="2:17" x14ac:dyDescent="0.25">
      <c r="B31" s="117" t="s">
        <v>110</v>
      </c>
      <c r="C31" s="118" t="s">
        <v>111</v>
      </c>
      <c r="D31" s="119">
        <v>250</v>
      </c>
      <c r="E31" s="119">
        <v>250</v>
      </c>
      <c r="F31" s="120" t="s">
        <v>68</v>
      </c>
      <c r="G31" s="121"/>
      <c r="H31" s="121"/>
      <c r="I31" s="122">
        <v>250</v>
      </c>
      <c r="J31" s="123"/>
      <c r="K31" s="124">
        <v>250</v>
      </c>
      <c r="L31" s="125">
        <v>40618</v>
      </c>
      <c r="M31" s="125">
        <v>40618</v>
      </c>
      <c r="N31" s="161">
        <v>250</v>
      </c>
      <c r="O31" s="125">
        <v>40897</v>
      </c>
      <c r="P31" s="125">
        <v>40931</v>
      </c>
      <c r="Q31" s="161">
        <v>250</v>
      </c>
    </row>
    <row r="32" spans="2:17" ht="30" x14ac:dyDescent="0.25">
      <c r="B32" s="117"/>
      <c r="C32" s="137" t="s">
        <v>102</v>
      </c>
      <c r="D32" s="119"/>
      <c r="E32" s="119"/>
      <c r="F32" s="120"/>
      <c r="G32" s="121"/>
      <c r="H32" s="121"/>
      <c r="I32" s="92"/>
      <c r="J32" s="123"/>
      <c r="K32" s="124"/>
      <c r="L32" s="125"/>
      <c r="M32" s="121"/>
      <c r="N32" s="106"/>
      <c r="O32" s="125"/>
      <c r="P32" s="121"/>
      <c r="Q32" s="106"/>
    </row>
    <row r="33" spans="2:17" x14ac:dyDescent="0.25">
      <c r="B33" s="117" t="s">
        <v>93</v>
      </c>
      <c r="C33" s="118" t="s">
        <v>94</v>
      </c>
      <c r="D33" s="119"/>
      <c r="E33" s="119"/>
      <c r="F33" s="120"/>
      <c r="G33" s="121"/>
      <c r="H33" s="121"/>
      <c r="I33" s="92"/>
      <c r="J33" s="123"/>
      <c r="K33" s="124">
        <v>1000</v>
      </c>
      <c r="L33" s="125">
        <v>40679</v>
      </c>
      <c r="M33" s="121">
        <v>40694</v>
      </c>
      <c r="N33" s="106">
        <v>1000</v>
      </c>
      <c r="O33" s="125"/>
      <c r="P33" s="121">
        <v>41109</v>
      </c>
      <c r="Q33" s="106">
        <v>1000</v>
      </c>
    </row>
    <row r="34" spans="2:17" x14ac:dyDescent="0.25">
      <c r="B34" s="117" t="s">
        <v>155</v>
      </c>
      <c r="C34" s="118" t="s">
        <v>154</v>
      </c>
      <c r="D34" s="119"/>
      <c r="E34" s="119"/>
      <c r="F34" s="120"/>
      <c r="G34" s="121"/>
      <c r="H34" s="121"/>
      <c r="I34" s="92"/>
      <c r="J34" s="123"/>
      <c r="K34" s="124">
        <v>1000</v>
      </c>
      <c r="L34" s="125">
        <v>40679</v>
      </c>
      <c r="M34" s="121">
        <v>40694</v>
      </c>
      <c r="N34" s="106">
        <v>1000</v>
      </c>
      <c r="O34" s="125"/>
      <c r="P34" s="121">
        <v>41009</v>
      </c>
      <c r="Q34" s="106">
        <v>500</v>
      </c>
    </row>
    <row r="35" spans="2:17" x14ac:dyDescent="0.25">
      <c r="B35" s="117" t="s">
        <v>113</v>
      </c>
      <c r="C35" s="118" t="s">
        <v>114</v>
      </c>
      <c r="D35" s="119"/>
      <c r="E35" s="119"/>
      <c r="F35" s="120"/>
      <c r="G35" s="121"/>
      <c r="H35" s="121"/>
      <c r="I35" s="92"/>
      <c r="J35" s="123"/>
      <c r="K35" s="124">
        <v>1000</v>
      </c>
      <c r="L35" s="125">
        <v>40831</v>
      </c>
      <c r="M35" s="121">
        <v>40831</v>
      </c>
      <c r="N35" s="106">
        <v>1000</v>
      </c>
      <c r="O35" s="125">
        <v>41153</v>
      </c>
      <c r="P35" s="121"/>
      <c r="Q35" s="106">
        <v>1000</v>
      </c>
    </row>
    <row r="36" spans="2:17" ht="30" x14ac:dyDescent="0.25">
      <c r="B36" s="117"/>
      <c r="C36" s="137" t="s">
        <v>165</v>
      </c>
      <c r="D36" s="119"/>
      <c r="E36" s="119"/>
      <c r="F36" s="120"/>
      <c r="G36" s="121"/>
      <c r="H36" s="121"/>
      <c r="I36" s="92"/>
      <c r="J36" s="123"/>
      <c r="K36" s="124"/>
      <c r="L36" s="125"/>
      <c r="M36" s="121"/>
      <c r="N36" s="106"/>
      <c r="O36" s="125"/>
      <c r="P36" s="121"/>
      <c r="Q36" s="106"/>
    </row>
    <row r="37" spans="2:17" x14ac:dyDescent="0.25">
      <c r="B37" s="117" t="s">
        <v>166</v>
      </c>
      <c r="C37" s="118" t="s">
        <v>167</v>
      </c>
      <c r="D37" s="119"/>
      <c r="E37" s="119"/>
      <c r="F37" s="120"/>
      <c r="G37" s="121"/>
      <c r="H37" s="121"/>
      <c r="I37" s="92"/>
      <c r="J37" s="123"/>
      <c r="K37" s="124"/>
      <c r="L37" s="125"/>
      <c r="M37" s="121"/>
      <c r="N37" s="106"/>
      <c r="O37" s="125"/>
      <c r="P37" s="121">
        <v>41051</v>
      </c>
      <c r="Q37" s="106">
        <v>500</v>
      </c>
    </row>
    <row r="38" spans="2:17" ht="30" x14ac:dyDescent="0.25">
      <c r="B38" s="117"/>
      <c r="C38" s="137" t="s">
        <v>168</v>
      </c>
      <c r="D38" s="119"/>
      <c r="E38" s="119"/>
      <c r="F38" s="120"/>
      <c r="G38" s="121"/>
      <c r="H38" s="121"/>
      <c r="I38" s="92"/>
      <c r="J38" s="123"/>
      <c r="K38" s="124"/>
      <c r="L38" s="125"/>
      <c r="M38" s="121"/>
      <c r="N38" s="106"/>
      <c r="O38" s="125"/>
      <c r="P38" s="121"/>
      <c r="Q38" s="106"/>
    </row>
    <row r="39" spans="2:17" x14ac:dyDescent="0.25">
      <c r="B39" s="117" t="s">
        <v>175</v>
      </c>
      <c r="C39" s="118" t="s">
        <v>176</v>
      </c>
      <c r="D39" s="119"/>
      <c r="E39" s="119"/>
      <c r="F39" s="120"/>
      <c r="G39" s="121"/>
      <c r="H39" s="121"/>
      <c r="I39" s="92"/>
      <c r="J39" s="123"/>
      <c r="K39" s="124"/>
      <c r="L39" s="125"/>
      <c r="M39" s="121"/>
      <c r="N39" s="106"/>
      <c r="O39" s="125"/>
      <c r="P39" s="121"/>
      <c r="Q39" s="106">
        <v>500</v>
      </c>
    </row>
    <row r="40" spans="2:17" ht="30" x14ac:dyDescent="0.25">
      <c r="B40" s="117"/>
      <c r="C40" s="137" t="s">
        <v>165</v>
      </c>
      <c r="D40" s="119"/>
      <c r="E40" s="119"/>
      <c r="F40" s="120"/>
      <c r="G40" s="121"/>
      <c r="H40" s="121"/>
      <c r="I40" s="92"/>
      <c r="J40" s="123"/>
      <c r="K40" s="124"/>
      <c r="L40" s="125"/>
      <c r="M40" s="121"/>
      <c r="N40" s="106"/>
      <c r="O40" s="125"/>
      <c r="P40" s="121"/>
      <c r="Q40" s="106"/>
    </row>
    <row r="41" spans="2:17" x14ac:dyDescent="0.25">
      <c r="B41" s="117" t="s">
        <v>169</v>
      </c>
      <c r="C41" s="118" t="s">
        <v>170</v>
      </c>
      <c r="D41" s="119"/>
      <c r="E41" s="119"/>
      <c r="F41" s="120"/>
      <c r="G41" s="121"/>
      <c r="H41" s="121"/>
      <c r="I41" s="92"/>
      <c r="J41" s="123"/>
      <c r="K41" s="124"/>
      <c r="L41" s="125"/>
      <c r="M41" s="121"/>
      <c r="N41" s="106"/>
      <c r="O41" s="125"/>
      <c r="P41" s="121">
        <v>41051</v>
      </c>
      <c r="Q41" s="106">
        <v>25</v>
      </c>
    </row>
    <row r="42" spans="2:17" x14ac:dyDescent="0.25">
      <c r="B42" s="117"/>
      <c r="C42" s="137" t="s">
        <v>124</v>
      </c>
      <c r="D42" s="119"/>
      <c r="E42" s="119"/>
      <c r="F42" s="120"/>
      <c r="G42" s="121"/>
      <c r="H42" s="121"/>
      <c r="I42" s="92"/>
      <c r="J42" s="123"/>
      <c r="K42" s="124"/>
      <c r="L42" s="125"/>
      <c r="M42" s="121"/>
      <c r="N42" s="106"/>
      <c r="O42" s="125"/>
      <c r="P42" s="121"/>
      <c r="Q42" s="106"/>
    </row>
    <row r="43" spans="2:17" ht="15.75" thickBot="1" x14ac:dyDescent="0.3">
      <c r="B43" s="117"/>
      <c r="C43" s="118" t="s">
        <v>125</v>
      </c>
      <c r="D43" s="119"/>
      <c r="E43" s="119"/>
      <c r="F43" s="120"/>
      <c r="G43" s="121"/>
      <c r="H43" s="121"/>
      <c r="I43" s="170"/>
      <c r="J43" s="123"/>
      <c r="K43" s="124"/>
      <c r="L43" s="125"/>
      <c r="M43" s="121"/>
      <c r="N43" s="106"/>
      <c r="O43" s="125"/>
      <c r="P43" s="121">
        <v>40940</v>
      </c>
      <c r="Q43" s="171">
        <v>25</v>
      </c>
    </row>
    <row r="44" spans="2:17" ht="16.5" thickTop="1" thickBot="1" x14ac:dyDescent="0.3">
      <c r="B44" s="117"/>
      <c r="C44" s="118"/>
      <c r="D44" s="119"/>
      <c r="E44" s="119"/>
      <c r="F44" s="120"/>
      <c r="G44" s="121"/>
      <c r="H44" s="121"/>
      <c r="I44" s="170"/>
      <c r="J44" s="123"/>
      <c r="K44" s="124"/>
      <c r="L44" s="125"/>
      <c r="M44" s="121"/>
      <c r="N44" s="106"/>
      <c r="O44" s="125"/>
      <c r="P44" s="121"/>
      <c r="Q44" s="171"/>
    </row>
    <row r="45" spans="2:17" ht="16.5" thickTop="1" thickBot="1" x14ac:dyDescent="0.3">
      <c r="B45" s="117" t="s">
        <v>22</v>
      </c>
      <c r="C45" s="118"/>
      <c r="D45" s="126">
        <f>SUM(D3:D26)</f>
        <v>39250</v>
      </c>
      <c r="E45" s="126">
        <f>SUM(E3:E26)</f>
        <v>34250</v>
      </c>
      <c r="F45" s="127"/>
      <c r="G45" s="118"/>
      <c r="H45" s="128"/>
      <c r="I45" s="129">
        <f>SUM(I4:I26)</f>
        <v>34250</v>
      </c>
      <c r="J45" s="123"/>
      <c r="K45" s="126">
        <f>SUM(K3:K35)-3000-2000</f>
        <v>37000</v>
      </c>
      <c r="L45" s="117"/>
      <c r="M45" s="128"/>
      <c r="N45" s="130">
        <f>SUM(N3:N35)</f>
        <v>37000</v>
      </c>
      <c r="O45" s="117"/>
      <c r="P45" s="128"/>
      <c r="Q45" s="130">
        <f>SUM(Q3:Q44)</f>
        <v>37550</v>
      </c>
    </row>
  </sheetData>
  <mergeCells count="1">
    <mergeCell ref="B1:H1"/>
  </mergeCells>
  <pageMargins left="0.31" right="0.31" top="0.75" bottom="0.75" header="0.3" footer="0.3"/>
  <pageSetup scale="70" orientation="landscape" cellComments="asDisplayed" r:id="rId1"/>
  <headerFooter>
    <oddFooter>&amp;C&amp;6scoop/pw internal site/ pw finance/US169 invoice monthly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>
  <documentManagement>
    <Category xmlns="69ed2b52-c04b-4a4a-ba4b-4ebbcaf53baf">Monthly</Category>
    <Year xmlns="69ed2b52-c04b-4a4a-ba4b-4ebbcaf53baf">2012</Year>
    <Month xmlns="69ed2b52-c04b-4a4a-ba4b-4ebbcaf53baf" xsi:nil="true"/>
    <CategoryType xmlns="69ed2b52-c04b-4a4a-ba4b-4ebbcaf53baf">General</CategoryType>
    <FunctionalArea xmlns="69ed2b52-c04b-4a4a-ba4b-4ebbcaf53baf" xsi:nil="true"/>
    <LawsonNon xmlns="69ed2b52-c04b-4a4a-ba4b-4ebbcaf53baf" xsi:nil="true"/>
    <Agency xmlns="69ed2b52-c04b-4a4a-ba4b-4ebbcaf53baf">US Hwy 169 Corridor Coalition</Agency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3328044F4E52448E8F57E96AAAA289" ma:contentTypeVersion="8" ma:contentTypeDescription="Create a new document." ma:contentTypeScope="" ma:versionID="7c4f4af0ef4911d24df3f4d183865fd7">
  <xsd:schema xmlns:xsd="http://www.w3.org/2001/XMLSchema" xmlns:xs="http://www.w3.org/2001/XMLSchema" xmlns:p="http://schemas.microsoft.com/office/2006/metadata/properties" xmlns:ns2="69ed2b52-c04b-4a4a-ba4b-4ebbcaf53baf" targetNamespace="http://schemas.microsoft.com/office/2006/metadata/properties" ma:root="true" ma:fieldsID="4395c87310f52612e41f7bc02e4f0eec" ns2:_="">
    <xsd:import namespace="69ed2b52-c04b-4a4a-ba4b-4ebbcaf53baf"/>
    <xsd:element name="properties">
      <xsd:complexType>
        <xsd:sequence>
          <xsd:element name="documentManagement">
            <xsd:complexType>
              <xsd:all>
                <xsd:element ref="ns2:Category"/>
                <xsd:element ref="ns2:CategoryType" minOccurs="0"/>
                <xsd:element ref="ns2:Agency" minOccurs="0"/>
                <xsd:element ref="ns2:FunctionalArea" minOccurs="0"/>
                <xsd:element ref="ns2:LawsonNon" minOccurs="0"/>
                <xsd:element ref="ns2:Month" minOccurs="0"/>
                <xsd:element ref="ns2:Ye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ed2b52-c04b-4a4a-ba4b-4ebbcaf53baf" elementFormDefault="qualified">
    <xsd:import namespace="http://schemas.microsoft.com/office/2006/documentManagement/types"/>
    <xsd:import namespace="http://schemas.microsoft.com/office/infopath/2007/PartnerControls"/>
    <xsd:element name="Category" ma:index="8" ma:displayName="Category" ma:description="Please choose the appropriate category." ma:format="Dropdown" ma:internalName="Category">
      <xsd:simpleType>
        <xsd:union memberTypes="dms:Text">
          <xsd:simpleType>
            <xsd:restriction base="dms:Choice">
              <xsd:enumeration value="Budget"/>
              <xsd:enumeration value="CityView"/>
              <xsd:enumeration value="Data"/>
              <xsd:enumeration value="FEMA"/>
              <xsd:enumeration value="Fleet"/>
              <xsd:enumeration value="General"/>
              <xsd:enumeration value="Inventory"/>
              <xsd:enumeration value="Invoice"/>
              <xsd:enumeration value="Journal Entries"/>
              <xsd:enumeration value="Monthly"/>
              <xsd:enumeration value="Procedures"/>
              <xsd:enumeration value="Query"/>
              <xsd:enumeration value="Reports"/>
              <xsd:enumeration value="Road Maintenance"/>
              <xsd:enumeration value="Sales and Use Tax"/>
              <xsd:enumeration value="Spreadsheet"/>
              <xsd:enumeration value="Transit"/>
              <xsd:enumeration value="Workplan"/>
            </xsd:restriction>
          </xsd:simpleType>
        </xsd:union>
      </xsd:simpleType>
    </xsd:element>
    <xsd:element name="CategoryType" ma:index="9" nillable="true" ma:displayName="Category Type" ma:format="Dropdown" ma:internalName="CategoryType">
      <xsd:simpleType>
        <xsd:union memberTypes="dms:Text">
          <xsd:simpleType>
            <xsd:restriction base="dms:Choice">
              <xsd:enumeration value="ADJ"/>
              <xsd:enumeration value="AR"/>
              <xsd:enumeration value="AP"/>
              <xsd:enumeration value="AUDIT"/>
              <xsd:enumeration value="Annual"/>
              <xsd:enumeration value="BL"/>
              <xsd:enumeration value="Budget"/>
              <xsd:enumeration value="Capital"/>
              <xsd:enumeration value="Cash Flow"/>
              <xsd:enumeration value="Equipment"/>
              <xsd:enumeration value="Escrow Balancing"/>
              <xsd:enumeration value="FLEET"/>
              <xsd:enumeration value="FUEL"/>
              <xsd:enumeration value="FUEL O-F"/>
              <xsd:enumeration value="General"/>
              <xsd:enumeration value="GL"/>
              <xsd:enumeration value="JE"/>
              <xsd:enumeration value="LBP"/>
              <xsd:enumeration value="Main"/>
              <xsd:enumeration value="Major"/>
              <xsd:enumeration value="Met Council"/>
              <xsd:enumeration value="Misc"/>
              <xsd:enumeration value="MnDOT"/>
              <xsd:enumeration value="Monthly Operating Statement"/>
              <xsd:enumeration value="Motor Fuel Claim"/>
              <xsd:enumeration value="Needs"/>
              <xsd:enumeration value="P-Card"/>
              <xsd:enumeration value="Partial Payment"/>
              <xsd:enumeration value="Prior Lake"/>
              <xsd:enumeration value="Report"/>
              <xsd:enumeration value="Sales Tax"/>
              <xsd:enumeration value="Second Notice"/>
              <xsd:enumeration value="Shakopee"/>
              <xsd:enumeration value="Shop"/>
              <xsd:enumeration value="Special Fuel Refund"/>
              <xsd:enumeration value="Spreadsheet"/>
              <xsd:enumeration value="TIP"/>
            </xsd:restriction>
          </xsd:simpleType>
        </xsd:union>
      </xsd:simpleType>
    </xsd:element>
    <xsd:element name="Agency" ma:index="10" nillable="true" ma:displayName="Agency" ma:description="Choose appropriate agency." ma:format="Dropdown" ma:internalName="Agency">
      <xsd:simpleType>
        <xsd:restriction base="dms:Choice">
          <xsd:enumeration value="CD"/>
          <xsd:enumeration value="Ditch Fund"/>
          <xsd:enumeration value="Federal"/>
          <xsd:enumeration value="Fiber"/>
          <xsd:enumeration value="Met Council"/>
          <xsd:enumeration value="MnDOT"/>
          <xsd:enumeration value="BlueXpress"/>
          <xsd:enumeration value="SCALE"/>
          <xsd:enumeration value="I-35W Solutions Aliance"/>
          <xsd:enumeration value="US Hwy 169 Corridor Coalition"/>
          <xsd:enumeration value="None"/>
        </xsd:restriction>
      </xsd:simpleType>
    </xsd:element>
    <xsd:element name="FunctionalArea" ma:index="11" nillable="true" ma:displayName="Functional Area" ma:format="Dropdown" ma:internalName="FunctionalArea">
      <xsd:simpleType>
        <xsd:union memberTypes="dms:Text">
          <xsd:simpleType>
            <xsd:restriction base="dms:Choice">
              <xsd:enumeration value="Administration"/>
              <xsd:enumeration value="Engineering"/>
              <xsd:enumeration value="External/Miscellaneous"/>
              <xsd:enumeration value="Highway Shop"/>
              <xsd:enumeration value="Internal/Crossfunctional"/>
              <xsd:enumeration value="Traffic"/>
              <xsd:enumeration value="Project Delivery"/>
              <xsd:enumeration value="Transit"/>
              <xsd:enumeration value="Highway Maintenance"/>
              <xsd:enumeration value="Survey"/>
            </xsd:restriction>
          </xsd:simpleType>
        </xsd:union>
      </xsd:simpleType>
    </xsd:element>
    <xsd:element name="LawsonNon" ma:index="12" nillable="true" ma:displayName="Lawson/Non" ma:format="Dropdown" ma:internalName="LawsonNon">
      <xsd:simpleType>
        <xsd:restriction base="dms:Choice">
          <xsd:enumeration value="Lawson"/>
          <xsd:enumeration value="Non-Lawson"/>
        </xsd:restriction>
      </xsd:simpleType>
    </xsd:element>
    <xsd:element name="Month" ma:index="13" nillable="true" ma:displayName="Month" ma:format="Dropdown" ma:internalName="Month">
      <xsd:simpleType>
        <xsd:restriction base="dms:Choice">
          <xsd:enumeration value="January"/>
          <xsd:enumeration value="February"/>
          <xsd:enumeration value="March"/>
          <xsd:enumeration value="April"/>
          <xsd:enumeration value="May"/>
          <xsd:enumeration value="June"/>
          <xsd:enumeration value="July"/>
          <xsd:enumeration value="August"/>
          <xsd:enumeration value="September"/>
          <xsd:enumeration value="October"/>
          <xsd:enumeration value="November"/>
          <xsd:enumeration value="December"/>
        </xsd:restriction>
      </xsd:simpleType>
    </xsd:element>
    <xsd:element name="Year" ma:index="14" nillable="true" ma:displayName="Year" ma:internalName="Year">
      <xsd:simpleType>
        <xsd:restriction base="dms:Text">
          <xsd:maxLength value="1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BA6647-EF48-4676-86F6-5425C3A5BD8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B953FC-94F0-47F5-833D-7183CD1FC952}">
  <ds:schemaRefs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69ed2b52-c04b-4a4a-ba4b-4ebbcaf53baf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DD3307A-AFEE-4533-81EC-CB1E9D42EB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ed2b52-c04b-4a4a-ba4b-4ebbcaf53b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Balance</vt:lpstr>
      <vt:lpstr>Facilitator</vt:lpstr>
      <vt:lpstr>Budget</vt:lpstr>
      <vt:lpstr>Webb Site Development &amp; Maint.</vt:lpstr>
      <vt:lpstr>DUES 2012</vt:lpstr>
    </vt:vector>
  </TitlesOfParts>
  <Company>SCOTT COUNTY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Information Technology</dc:creator>
  <cp:lastModifiedBy>setup</cp:lastModifiedBy>
  <cp:lastPrinted>2012-09-04T15:12:42Z</cp:lastPrinted>
  <dcterms:created xsi:type="dcterms:W3CDTF">2005-06-06T15:16:08Z</dcterms:created>
  <dcterms:modified xsi:type="dcterms:W3CDTF">2012-09-04T15:17:42Z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0x0101003C3328044F4E52448E8F57E96AAAA289</vt:lpwstr>
  </property>
  <property fmtid="{D5CDD505-2E9C-101B-9397-08002B2CF9AE}" pid="3" name="Order">
    <vt:r8>34000</vt:r8>
  </property>
  <property fmtid="{D5CDD505-2E9C-101B-9397-08002B2CF9AE}" pid="4" name="TemplateUrl">
    <vt:lpwstr/>
  </property>
  <property fmtid="{D5CDD505-2E9C-101B-9397-08002B2CF9AE}" pid="5" name="Category">
    <vt:lpwstr>Monthly</vt:lpwstr>
  </property>
  <property fmtid="{D5CDD505-2E9C-101B-9397-08002B2CF9AE}" pid="6" name="Functional Area">
    <vt:lpwstr/>
  </property>
  <property fmtid="{D5CDD505-2E9C-101B-9397-08002B2CF9AE}" pid="7" name="Year">
    <vt:lpwstr>2012</vt:lpwstr>
  </property>
  <property fmtid="{D5CDD505-2E9C-101B-9397-08002B2CF9AE}" pid="8" name="xd_Signature">
    <vt:bool>false</vt:bool>
  </property>
  <property fmtid="{D5CDD505-2E9C-101B-9397-08002B2CF9AE}" pid="9" name="xd_ProgID">
    <vt:lpwstr/>
  </property>
  <property fmtid="{D5CDD505-2E9C-101B-9397-08002B2CF9AE}" pid="10" name="Month">
    <vt:lpwstr/>
  </property>
  <property fmtid="{D5CDD505-2E9C-101B-9397-08002B2CF9AE}" pid="11" name="Category Type">
    <vt:lpwstr>General</vt:lpwstr>
  </property>
  <property fmtid="{D5CDD505-2E9C-101B-9397-08002B2CF9AE}" pid="12" name="MetaDataDone">
    <vt:bool>true</vt:bool>
  </property>
</Properties>
</file>